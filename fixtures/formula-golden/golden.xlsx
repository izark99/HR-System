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48" customWidth="1" min="3" max="3"/>
    <col width="22" customWidth="1" min="7" max="7"/>
    <col width="60" customWidth="1" min="9" max="9"/>
  </cols>
  <sheetData>
    <row r="1">
      <c r="A1" s="1" t="inlineStr">
        <is>
          <t>id</t>
        </is>
      </c>
      <c r="B1" s="1" t="inlineStr">
        <is>
          <t>fn</t>
        </is>
      </c>
      <c r="C1" s="1" t="inlineStr">
        <is>
          <t>formula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excel</t>
        </is>
      </c>
      <c r="H1" s="1" t="inlineStr">
        <is>
          <t>error_type</t>
        </is>
      </c>
      <c r="I1" s="1" t="inlineStr">
        <is>
          <t>note</t>
        </is>
      </c>
    </row>
    <row r="2">
      <c r="A2" t="inlineStr">
        <is>
          <t>c001</t>
        </is>
      </c>
      <c r="B2" t="inlineStr">
        <is>
          <t>OP</t>
        </is>
      </c>
      <c r="C2" s="2" t="inlineStr">
        <is>
          <t>=[a]+1</t>
        </is>
      </c>
      <c r="G2">
        <f>D2+1</f>
        <v/>
      </c>
      <c r="H2">
        <f>IF(ISERROR(G2),ERROR.TYPE(G2),"")</f>
        <v/>
      </c>
      <c r="I2" t="inlineStr"/>
    </row>
    <row r="3">
      <c r="A3" t="inlineStr">
        <is>
          <t>c002</t>
        </is>
      </c>
      <c r="B3" t="inlineStr">
        <is>
          <t>OP</t>
        </is>
      </c>
      <c r="C3" s="2" t="inlineStr">
        <is>
          <t>=[a]&amp;"x"</t>
        </is>
      </c>
      <c r="G3">
        <f>D3&amp;"x"</f>
        <v/>
      </c>
      <c r="H3">
        <f>IF(ISERROR(G3),ERROR.TYPE(G3),"")</f>
        <v/>
      </c>
      <c r="I3" t="inlineStr"/>
    </row>
    <row r="4">
      <c r="A4" t="inlineStr">
        <is>
          <t>c003</t>
        </is>
      </c>
      <c r="B4" t="inlineStr">
        <is>
          <t>OP</t>
        </is>
      </c>
      <c r="C4" s="2" t="inlineStr">
        <is>
          <t>=[a]=""</t>
        </is>
      </c>
      <c r="G4">
        <f>D4=""</f>
        <v/>
      </c>
      <c r="H4">
        <f>IF(ISERROR(G4),ERROR.TYPE(G4),"")</f>
        <v/>
      </c>
      <c r="I4" t="inlineStr"/>
    </row>
    <row r="5">
      <c r="A5" t="inlineStr">
        <is>
          <t>c004</t>
        </is>
      </c>
      <c r="B5" t="inlineStr">
        <is>
          <t>OP</t>
        </is>
      </c>
      <c r="C5" s="2" t="inlineStr">
        <is>
          <t>=[a]=0</t>
        </is>
      </c>
      <c r="G5">
        <f>D5=0</f>
        <v/>
      </c>
      <c r="H5">
        <f>IF(ISERROR(G5),ERROR.TYPE(G5),"")</f>
        <v/>
      </c>
      <c r="I5" t="inlineStr"/>
    </row>
    <row r="6">
      <c r="A6" t="inlineStr">
        <is>
          <t>c005</t>
        </is>
      </c>
      <c r="B6" t="inlineStr">
        <is>
          <t>OP</t>
        </is>
      </c>
      <c r="C6" s="2" t="inlineStr">
        <is>
          <t>=[a]</t>
        </is>
      </c>
      <c r="G6">
        <f>D6</f>
        <v/>
      </c>
      <c r="H6">
        <f>IF(ISERROR(G6),ERROR.TYPE(G6),"")</f>
        <v/>
      </c>
      <c r="I6" t="inlineStr">
        <is>
          <t>Engine: tham chiếu cột trần với ô trống → trống (MEMORY 2026-10-30); Excel trả 0.</t>
        </is>
      </c>
    </row>
    <row r="7">
      <c r="A7" t="inlineStr">
        <is>
          <t>c006</t>
        </is>
      </c>
      <c r="B7" t="inlineStr">
        <is>
          <t>OP</t>
        </is>
      </c>
      <c r="C7" s="2" t="inlineStr">
        <is>
          <t>=0.1+0.2</t>
        </is>
      </c>
      <c r="G7">
        <f>0.1+0.2</f>
        <v/>
      </c>
      <c r="H7">
        <f>IF(ISERROR(G7),ERROR.TYPE(G7),"")</f>
        <v/>
      </c>
      <c r="I7" t="inlineStr"/>
    </row>
    <row r="8">
      <c r="A8" t="inlineStr">
        <is>
          <t>c007</t>
        </is>
      </c>
      <c r="B8" t="inlineStr">
        <is>
          <t>OP</t>
        </is>
      </c>
      <c r="C8" s="2" t="inlineStr">
        <is>
          <t>=1/3</t>
        </is>
      </c>
      <c r="G8">
        <f>1/3</f>
        <v/>
      </c>
      <c r="H8">
        <f>IF(ISERROR(G8),ERROR.TYPE(G8),"")</f>
        <v/>
      </c>
      <c r="I8" t="inlineStr">
        <is>
          <t>Engine: DECIMAL(38,10) làm tròn 10 chữ số; Excel 15 chữ số có nghĩa.</t>
        </is>
      </c>
    </row>
    <row r="9">
      <c r="A9" t="inlineStr">
        <is>
          <t>c008</t>
        </is>
      </c>
      <c r="B9" t="inlineStr">
        <is>
          <t>OP</t>
        </is>
      </c>
      <c r="C9" s="2" t="inlineStr">
        <is>
          <t>=[a]*1.1</t>
        </is>
      </c>
      <c r="D9" t="n">
        <v>1234567890123.25</v>
      </c>
      <c r="G9">
        <f>D9*1.1</f>
        <v/>
      </c>
      <c r="H9">
        <f>IF(ISERROR(G9),ERROR.TYPE(G9),"")</f>
        <v/>
      </c>
      <c r="I9" t="inlineStr">
        <is>
          <t>Engine chính xác tuyệt đối; Excel chỉ giữ 15 chữ số có nghĩa.</t>
        </is>
      </c>
    </row>
    <row r="10">
      <c r="A10" t="inlineStr">
        <is>
          <t>c009</t>
        </is>
      </c>
      <c r="B10" t="inlineStr">
        <is>
          <t>OP</t>
        </is>
      </c>
      <c r="C10" s="2" t="inlineStr">
        <is>
          <t>=[a]/[b]</t>
        </is>
      </c>
      <c r="D10" t="n">
        <v>10</v>
      </c>
      <c r="E10" t="n">
        <v>0</v>
      </c>
      <c r="G10">
        <f>D10/E10</f>
        <v/>
      </c>
      <c r="H10">
        <f>IF(ISERROR(G10),ERROR.TYPE(G10),"")</f>
        <v/>
      </c>
      <c r="I10" t="inlineStr"/>
    </row>
    <row r="11">
      <c r="A11" t="inlineStr">
        <is>
          <t>c010</t>
        </is>
      </c>
      <c r="B11" t="inlineStr">
        <is>
          <t>OP</t>
        </is>
      </c>
      <c r="C11" s="2" t="inlineStr">
        <is>
          <t>=[a]/[b]</t>
        </is>
      </c>
      <c r="D11" t="n">
        <v>-7</v>
      </c>
      <c r="E11" t="n">
        <v>2</v>
      </c>
      <c r="G11">
        <f>D11/E11</f>
        <v/>
      </c>
      <c r="H11">
        <f>IF(ISERROR(G11),ERROR.TYPE(G11),"")</f>
        <v/>
      </c>
      <c r="I11" t="inlineStr"/>
    </row>
    <row r="12">
      <c r="A12" t="inlineStr">
        <is>
          <t>c011</t>
        </is>
      </c>
      <c r="B12" t="inlineStr">
        <is>
          <t>OP</t>
        </is>
      </c>
      <c r="C12" s="2" t="inlineStr">
        <is>
          <t>="12"+1</t>
        </is>
      </c>
      <c r="G12">
        <f>"12"+1</f>
        <v/>
      </c>
      <c r="H12">
        <f>IF(ISERROR(G12),ERROR.TYPE(G12),"")</f>
        <v/>
      </c>
      <c r="I12" t="inlineStr"/>
    </row>
    <row r="13">
      <c r="A13" t="inlineStr">
        <is>
          <t>c012</t>
        </is>
      </c>
      <c r="B13" t="inlineStr">
        <is>
          <t>OP</t>
        </is>
      </c>
      <c r="C13" s="2" t="inlineStr">
        <is>
          <t>="abc"+1</t>
        </is>
      </c>
      <c r="G13">
        <f>"abc"+1</f>
        <v/>
      </c>
      <c r="H13">
        <f>IF(ISERROR(G13),ERROR.TYPE(G13),"")</f>
        <v/>
      </c>
      <c r="I13" t="inlineStr"/>
    </row>
    <row r="14">
      <c r="A14" t="inlineStr">
        <is>
          <t>c013</t>
        </is>
      </c>
      <c r="B14" t="inlineStr">
        <is>
          <t>OP</t>
        </is>
      </c>
      <c r="C14" s="2" t="inlineStr">
        <is>
          <t>=TRUE+1</t>
        </is>
      </c>
      <c r="G14">
        <f>TRUE+1</f>
        <v/>
      </c>
      <c r="H14">
        <f>IF(ISERROR(G14),ERROR.TYPE(G14),"")</f>
        <v/>
      </c>
      <c r="I14" t="inlineStr"/>
    </row>
    <row r="15">
      <c r="A15" t="inlineStr">
        <is>
          <t>c014</t>
        </is>
      </c>
      <c r="B15" t="inlineStr">
        <is>
          <t>OP</t>
        </is>
      </c>
      <c r="C15" s="2" t="inlineStr">
        <is>
          <t>=-2^2</t>
        </is>
      </c>
      <c r="G15">
        <f>-2^2</f>
        <v/>
      </c>
      <c r="H15">
        <f>IF(ISERROR(G15),ERROR.TYPE(G15),"")</f>
        <v/>
      </c>
      <c r="I15" t="inlineStr"/>
    </row>
    <row r="16">
      <c r="A16" t="inlineStr">
        <is>
          <t>c015</t>
        </is>
      </c>
      <c r="B16" t="inlineStr">
        <is>
          <t>OP</t>
        </is>
      </c>
      <c r="C16" s="2" t="inlineStr">
        <is>
          <t>=2^10</t>
        </is>
      </c>
      <c r="G16">
        <f>2^10</f>
        <v/>
      </c>
      <c r="H16">
        <f>IF(ISERROR(G16),ERROR.TYPE(G16),"")</f>
        <v/>
      </c>
      <c r="I16" t="inlineStr"/>
    </row>
    <row r="17">
      <c r="A17" t="inlineStr">
        <is>
          <t>c016</t>
        </is>
      </c>
      <c r="B17" t="inlineStr">
        <is>
          <t>OP</t>
        </is>
      </c>
      <c r="C17" s="2" t="inlineStr">
        <is>
          <t>=2^-2</t>
        </is>
      </c>
      <c r="G17">
        <f>2^-2</f>
        <v/>
      </c>
      <c r="H17">
        <f>IF(ISERROR(G17),ERROR.TYPE(G17),"")</f>
        <v/>
      </c>
      <c r="I17" t="inlineStr"/>
    </row>
    <row r="18">
      <c r="A18" t="inlineStr">
        <is>
          <t>c017</t>
        </is>
      </c>
      <c r="B18" t="inlineStr">
        <is>
          <t>OP</t>
        </is>
      </c>
      <c r="C18" s="2" t="inlineStr">
        <is>
          <t>=10^30*10^30</t>
        </is>
      </c>
      <c r="G18">
        <f>10^30*10^30</f>
        <v/>
      </c>
      <c r="H18">
        <f>IF(ISERROR(G18),ERROR.TYPE(G18),"")</f>
        <v/>
      </c>
      <c r="I18" t="inlineStr">
        <is>
          <t>Engine: vượt DECIMAL(38,10) → #NUM!; Excel (double) vẫn tính được.</t>
        </is>
      </c>
    </row>
    <row r="19">
      <c r="A19" t="inlineStr">
        <is>
          <t>c018</t>
        </is>
      </c>
      <c r="B19" t="inlineStr">
        <is>
          <t>OP</t>
        </is>
      </c>
      <c r="C19" s="2" t="inlineStr">
        <is>
          <t>=50%</t>
        </is>
      </c>
      <c r="G19">
        <f>50%</f>
        <v/>
      </c>
      <c r="H19">
        <f>IF(ISERROR(G19),ERROR.TYPE(G19),"")</f>
        <v/>
      </c>
      <c r="I19" t="inlineStr"/>
    </row>
    <row r="20">
      <c r="A20" t="inlineStr">
        <is>
          <t>c019</t>
        </is>
      </c>
      <c r="B20" t="inlineStr">
        <is>
          <t>OP</t>
        </is>
      </c>
      <c r="C20" s="2" t="inlineStr">
        <is>
          <t>=[a]%</t>
        </is>
      </c>
      <c r="D20" t="n">
        <v>-12.5</v>
      </c>
      <c r="G20">
        <f>D20%</f>
        <v/>
      </c>
      <c r="H20">
        <f>IF(ISERROR(G20),ERROR.TYPE(G20),"")</f>
        <v/>
      </c>
      <c r="I20" t="inlineStr"/>
    </row>
    <row r="21">
      <c r="A21" t="inlineStr">
        <is>
          <t>c020</t>
        </is>
      </c>
      <c r="B21" t="inlineStr">
        <is>
          <t>OP</t>
        </is>
      </c>
      <c r="C21" s="2" t="inlineStr">
        <is>
          <t>="abc"="ABC"</t>
        </is>
      </c>
      <c r="G21">
        <f>"abc"="ABC"</f>
        <v/>
      </c>
      <c r="H21">
        <f>IF(ISERROR(G21),ERROR.TYPE(G21),"")</f>
        <v/>
      </c>
      <c r="I21" t="inlineStr"/>
    </row>
    <row r="22">
      <c r="A22" t="inlineStr">
        <is>
          <t>c021</t>
        </is>
      </c>
      <c r="B22" t="inlineStr">
        <is>
          <t>OP</t>
        </is>
      </c>
      <c r="C22" s="2" t="inlineStr">
        <is>
          <t>="a"&lt;"B"</t>
        </is>
      </c>
      <c r="G22">
        <f>"a"&lt;"B"</f>
        <v/>
      </c>
      <c r="H22">
        <f>IF(ISERROR(G22),ERROR.TYPE(G22),"")</f>
        <v/>
      </c>
      <c r="I22" t="inlineStr"/>
    </row>
    <row r="23">
      <c r="A23" t="inlineStr">
        <is>
          <t>c022</t>
        </is>
      </c>
      <c r="B23" t="inlineStr">
        <is>
          <t>OP</t>
        </is>
      </c>
      <c r="C23" s="2" t="inlineStr">
        <is>
          <t>=1&lt;"a"</t>
        </is>
      </c>
      <c r="G23">
        <f>1&lt;"a"</f>
        <v/>
      </c>
      <c r="H23">
        <f>IF(ISERROR(G23),ERROR.TYPE(G23),"")</f>
        <v/>
      </c>
      <c r="I23" t="inlineStr"/>
    </row>
    <row r="24">
      <c r="A24" t="inlineStr">
        <is>
          <t>c023</t>
        </is>
      </c>
      <c r="B24" t="inlineStr">
        <is>
          <t>OP</t>
        </is>
      </c>
      <c r="C24" s="2" t="inlineStr">
        <is>
          <t>=[a]&lt;&gt;[b]</t>
        </is>
      </c>
      <c r="D24" s="3" t="inlineStr">
        <is>
          <t>Nguyễn</t>
        </is>
      </c>
      <c r="E24" s="3" t="inlineStr">
        <is>
          <t>NGUYỄN</t>
        </is>
      </c>
      <c r="G24">
        <f>D24&lt;&gt;E24</f>
        <v/>
      </c>
      <c r="H24">
        <f>IF(ISERROR(G24),ERROR.TYPE(G24),"")</f>
        <v/>
      </c>
      <c r="I24" t="inlineStr"/>
    </row>
    <row r="25">
      <c r="A25" t="inlineStr">
        <is>
          <t>c024</t>
        </is>
      </c>
      <c r="B25" t="inlineStr">
        <is>
          <t>OP</t>
        </is>
      </c>
      <c r="C25" s="2" t="inlineStr">
        <is>
          <t>=[a]+30</t>
        </is>
      </c>
      <c r="D25" s="4" t="n">
        <v>45337</v>
      </c>
      <c r="G25">
        <f>D25+30</f>
        <v/>
      </c>
      <c r="H25">
        <f>IF(ISERROR(G25),ERROR.TYPE(G25),"")</f>
        <v/>
      </c>
      <c r="I25" t="inlineStr"/>
    </row>
    <row r="26">
      <c r="A26" t="inlineStr">
        <is>
          <t>c025</t>
        </is>
      </c>
      <c r="B26" t="inlineStr">
        <is>
          <t>OP</t>
        </is>
      </c>
      <c r="C26" s="2" t="inlineStr">
        <is>
          <t>=[a]-[b]</t>
        </is>
      </c>
      <c r="D26" s="4" t="n">
        <v>46082</v>
      </c>
      <c r="E26" s="4" t="n">
        <v>45350</v>
      </c>
      <c r="G26">
        <f>D26-E26</f>
        <v/>
      </c>
      <c r="H26">
        <f>IF(ISERROR(G26),ERROR.TYPE(G26),"")</f>
        <v/>
      </c>
      <c r="I26" t="inlineStr"/>
    </row>
    <row r="27">
      <c r="A27" t="inlineStr">
        <is>
          <t>c026</t>
        </is>
      </c>
      <c r="B27" t="inlineStr">
        <is>
          <t>OP</t>
        </is>
      </c>
      <c r="C27" s="2" t="inlineStr">
        <is>
          <t>="Mã: "&amp;[a]</t>
        </is>
      </c>
      <c r="D27" t="n">
        <v>1.5</v>
      </c>
      <c r="G27">
        <f>"Mã: "&amp;D27</f>
        <v/>
      </c>
      <c r="H27">
        <f>IF(ISERROR(G27),ERROR.TYPE(G27),"")</f>
        <v/>
      </c>
      <c r="I27" t="inlineStr"/>
    </row>
    <row r="28">
      <c r="A28" t="inlineStr">
        <is>
          <t>c027</t>
        </is>
      </c>
      <c r="B28" t="inlineStr">
        <is>
          <t>OP</t>
        </is>
      </c>
      <c r="C28" s="2" t="inlineStr">
        <is>
          <t>=[a]&amp;[b]</t>
        </is>
      </c>
      <c r="D28" t="b">
        <v>1</v>
      </c>
      <c r="E28" t="n">
        <v>-3</v>
      </c>
      <c r="G28">
        <f>D28&amp;E28</f>
        <v/>
      </c>
      <c r="H28">
        <f>IF(ISERROR(G28),ERROR.TYPE(G28),"")</f>
        <v/>
      </c>
      <c r="I28" t="inlineStr"/>
    </row>
    <row r="29">
      <c r="A29" t="inlineStr">
        <is>
          <t>c028</t>
        </is>
      </c>
      <c r="B29" t="inlineStr">
        <is>
          <t>IF</t>
        </is>
      </c>
      <c r="C29" s="2" t="inlineStr">
        <is>
          <t>=IF([a]&gt;0,"Dương","Âm")</t>
        </is>
      </c>
      <c r="D29" t="n">
        <v>5</v>
      </c>
      <c r="G29">
        <f>IF(D29&gt;0,"Dương","Âm")</f>
        <v/>
      </c>
      <c r="H29">
        <f>IF(ISERROR(G29),ERROR.TYPE(G29),"")</f>
        <v/>
      </c>
      <c r="I29" t="inlineStr"/>
    </row>
    <row r="30">
      <c r="A30" t="inlineStr">
        <is>
          <t>c029</t>
        </is>
      </c>
      <c r="B30" t="inlineStr">
        <is>
          <t>IF</t>
        </is>
      </c>
      <c r="C30" s="2" t="inlineStr">
        <is>
          <t>=IF([a]&gt;0,"Dương","Âm")</t>
        </is>
      </c>
      <c r="D30" t="n">
        <v>-3</v>
      </c>
      <c r="G30">
        <f>IF(D30&gt;0,"Dương","Âm")</f>
        <v/>
      </c>
      <c r="H30">
        <f>IF(ISERROR(G30),ERROR.TYPE(G30),"")</f>
        <v/>
      </c>
      <c r="I30" t="inlineStr"/>
    </row>
    <row r="31">
      <c r="A31" t="inlineStr">
        <is>
          <t>c030</t>
        </is>
      </c>
      <c r="B31" t="inlineStr">
        <is>
          <t>IF</t>
        </is>
      </c>
      <c r="C31" s="2" t="inlineStr">
        <is>
          <t>=IF([a]&gt;0,[a]*2,[a]-1)</t>
        </is>
      </c>
      <c r="G31">
        <f>IF(D31&gt;0,D31*2,D31-1)</f>
        <v/>
      </c>
      <c r="H31">
        <f>IF(ISERROR(G31),ERROR.TYPE(G31),"")</f>
        <v/>
      </c>
      <c r="I31" t="inlineStr"/>
    </row>
    <row r="32">
      <c r="A32" t="inlineStr">
        <is>
          <t>c031</t>
        </is>
      </c>
      <c r="B32" t="inlineStr">
        <is>
          <t>IF</t>
        </is>
      </c>
      <c r="C32" s="2" t="inlineStr">
        <is>
          <t>=IF([a]/[b]&gt;1,1,2)</t>
        </is>
      </c>
      <c r="D32" t="n">
        <v>1</v>
      </c>
      <c r="E32" t="n">
        <v>0</v>
      </c>
      <c r="G32">
        <f>IF(D32/E32&gt;1,1,2)</f>
        <v/>
      </c>
      <c r="H32">
        <f>IF(ISERROR(G32),ERROR.TYPE(G32),"")</f>
        <v/>
      </c>
      <c r="I32" t="inlineStr"/>
    </row>
    <row r="33">
      <c r="A33" t="inlineStr">
        <is>
          <t>c032</t>
        </is>
      </c>
      <c r="B33" t="inlineStr">
        <is>
          <t>IF</t>
        </is>
      </c>
      <c r="C33" s="2" t="inlineStr">
        <is>
          <t>=IF(TRUE,[a],0)</t>
        </is>
      </c>
      <c r="G33">
        <f>IF(TRUE,D33,0)</f>
        <v/>
      </c>
      <c r="H33">
        <f>IF(ISERROR(G33),ERROR.TYPE(G33),"")</f>
        <v/>
      </c>
      <c r="I33" t="inlineStr">
        <is>
          <t>Engine: nhánh IF trả về tham chiếu cột trần với ô trống → trống; Excel trả 0.</t>
        </is>
      </c>
    </row>
    <row r="34">
      <c r="A34" t="inlineStr">
        <is>
          <t>c033</t>
        </is>
      </c>
      <c r="B34" t="inlineStr">
        <is>
          <t>IF</t>
        </is>
      </c>
      <c r="C34" s="2" t="inlineStr">
        <is>
          <t>=IF([a]&gt;0,1/0,5)</t>
        </is>
      </c>
      <c r="D34" t="n">
        <v>-1</v>
      </c>
      <c r="G34">
        <f>IF(D34&gt;0,1/0,5)</f>
        <v/>
      </c>
      <c r="H34">
        <f>IF(ISERROR(G34),ERROR.TYPE(G34),"")</f>
        <v/>
      </c>
      <c r="I34" t="inlineStr"/>
    </row>
    <row r="35">
      <c r="A35" t="inlineStr">
        <is>
          <t>c034</t>
        </is>
      </c>
      <c r="B35" t="inlineStr">
        <is>
          <t>IFS</t>
        </is>
      </c>
      <c r="C35" s="2" t="inlineStr">
        <is>
          <t>=IFS([a]&gt;=8,"Giỏi",[a]&gt;=5,"Khá",TRUE,"Yếu")</t>
        </is>
      </c>
      <c r="D35" t="n">
        <v>9</v>
      </c>
      <c r="G35">
        <f>_xlfn.IFS(D35&gt;=8,"Giỏi",D35&gt;=5,"Khá",TRUE,"Yếu")</f>
        <v/>
      </c>
      <c r="H35">
        <f>IF(ISERROR(G35),ERROR.TYPE(G35),"")</f>
        <v/>
      </c>
      <c r="I35" t="inlineStr"/>
    </row>
    <row r="36">
      <c r="A36" t="inlineStr">
        <is>
          <t>c035</t>
        </is>
      </c>
      <c r="B36" t="inlineStr">
        <is>
          <t>IFS</t>
        </is>
      </c>
      <c r="C36" s="2" t="inlineStr">
        <is>
          <t>=IFS([a]&gt;=8,"Giỏi",[a]&gt;=5,"Khá",TRUE,"Yếu")</t>
        </is>
      </c>
      <c r="D36" t="n">
        <v>6.5</v>
      </c>
      <c r="G36">
        <f>_xlfn.IFS(D36&gt;=8,"Giỏi",D36&gt;=5,"Khá",TRUE,"Yếu")</f>
        <v/>
      </c>
      <c r="H36">
        <f>IF(ISERROR(G36),ERROR.TYPE(G36),"")</f>
        <v/>
      </c>
      <c r="I36" t="inlineStr"/>
    </row>
    <row r="37">
      <c r="A37" t="inlineStr">
        <is>
          <t>c036</t>
        </is>
      </c>
      <c r="B37" t="inlineStr">
        <is>
          <t>IFS</t>
        </is>
      </c>
      <c r="C37" s="2" t="inlineStr">
        <is>
          <t>=IFS([a]&gt;=8,"Giỏi",[a]&gt;=5,"Khá",TRUE,"Yếu")</t>
        </is>
      </c>
      <c r="G37">
        <f>_xlfn.IFS(D37&gt;=8,"Giỏi",D37&gt;=5,"Khá",TRUE,"Yếu")</f>
        <v/>
      </c>
      <c r="H37">
        <f>IF(ISERROR(G37),ERROR.TYPE(G37),"")</f>
        <v/>
      </c>
      <c r="I37" t="inlineStr"/>
    </row>
    <row r="38">
      <c r="A38" t="inlineStr">
        <is>
          <t>c037</t>
        </is>
      </c>
      <c r="B38" t="inlineStr">
        <is>
          <t>IFS</t>
        </is>
      </c>
      <c r="C38" s="2" t="inlineStr">
        <is>
          <t>=IFS([a]&gt;100,1)</t>
        </is>
      </c>
      <c r="D38" t="n">
        <v>1</v>
      </c>
      <c r="G38">
        <f>_xlfn.IFS(D38&gt;100,1)</f>
        <v/>
      </c>
      <c r="H38">
        <f>IF(ISERROR(G38),ERROR.TYPE(G38),"")</f>
        <v/>
      </c>
      <c r="I38" t="inlineStr"/>
    </row>
    <row r="39">
      <c r="A39" t="inlineStr">
        <is>
          <t>c038</t>
        </is>
      </c>
      <c r="B39" t="inlineStr">
        <is>
          <t>AND</t>
        </is>
      </c>
      <c r="C39" s="2" t="inlineStr">
        <is>
          <t>=AND([a]&gt;0,[b]&gt;0)</t>
        </is>
      </c>
      <c r="D39" t="n">
        <v>1</v>
      </c>
      <c r="E39" t="n">
        <v>2</v>
      </c>
      <c r="G39">
        <f>AND(D39&gt;0,E39&gt;0)</f>
        <v/>
      </c>
      <c r="H39">
        <f>IF(ISERROR(G39),ERROR.TYPE(G39),"")</f>
        <v/>
      </c>
      <c r="I39" t="inlineStr"/>
    </row>
    <row r="40">
      <c r="A40" t="inlineStr">
        <is>
          <t>c039</t>
        </is>
      </c>
      <c r="B40" t="inlineStr">
        <is>
          <t>AND</t>
        </is>
      </c>
      <c r="C40" s="2" t="inlineStr">
        <is>
          <t>=AND([a]&gt;0,[b]&gt;0)</t>
        </is>
      </c>
      <c r="D40" t="n">
        <v>1</v>
      </c>
      <c r="E40" t="n">
        <v>-2</v>
      </c>
      <c r="G40">
        <f>AND(D40&gt;0,E40&gt;0)</f>
        <v/>
      </c>
      <c r="H40">
        <f>IF(ISERROR(G40),ERROR.TYPE(G40),"")</f>
        <v/>
      </c>
      <c r="I40" t="inlineStr"/>
    </row>
    <row r="41">
      <c r="A41" t="inlineStr">
        <is>
          <t>c040</t>
        </is>
      </c>
      <c r="B41" t="inlineStr">
        <is>
          <t>AND</t>
        </is>
      </c>
      <c r="C41" s="2" t="inlineStr">
        <is>
          <t>=AND([a]&gt;0,[b]&gt;0)</t>
        </is>
      </c>
      <c r="E41" t="n">
        <v>2</v>
      </c>
      <c r="G41">
        <f>AND(D41&gt;0,E41&gt;0)</f>
        <v/>
      </c>
      <c r="H41">
        <f>IF(ISERROR(G41),ERROR.TYPE(G41),"")</f>
        <v/>
      </c>
      <c r="I41" t="inlineStr"/>
    </row>
    <row r="42">
      <c r="A42" t="inlineStr">
        <is>
          <t>c041</t>
        </is>
      </c>
      <c r="B42" t="inlineStr">
        <is>
          <t>AND</t>
        </is>
      </c>
      <c r="C42" s="2" t="inlineStr">
        <is>
          <t>=AND([a],1)</t>
        </is>
      </c>
      <c r="G42">
        <f>AND(D42,1)</f>
        <v/>
      </c>
      <c r="H42">
        <f>IF(ISERROR(G42),ERROR.TYPE(G42),"")</f>
        <v/>
      </c>
      <c r="I42" t="inlineStr">
        <is>
          <t>AND bỏ qua ô trống trong tham chiếu</t>
        </is>
      </c>
    </row>
    <row r="43">
      <c r="A43" t="inlineStr">
        <is>
          <t>c042</t>
        </is>
      </c>
      <c r="B43" t="inlineStr">
        <is>
          <t>OR</t>
        </is>
      </c>
      <c r="C43" s="2" t="inlineStr">
        <is>
          <t>=OR([a]&gt;0,[b]&gt;0)</t>
        </is>
      </c>
      <c r="D43" t="n">
        <v>-1</v>
      </c>
      <c r="E43" t="n">
        <v>2</v>
      </c>
      <c r="G43">
        <f>OR(D43&gt;0,E43&gt;0)</f>
        <v/>
      </c>
      <c r="H43">
        <f>IF(ISERROR(G43),ERROR.TYPE(G43),"")</f>
        <v/>
      </c>
      <c r="I43" t="inlineStr"/>
    </row>
    <row r="44">
      <c r="A44" t="inlineStr">
        <is>
          <t>c043</t>
        </is>
      </c>
      <c r="B44" t="inlineStr">
        <is>
          <t>OR</t>
        </is>
      </c>
      <c r="C44" s="2" t="inlineStr">
        <is>
          <t>=OR([a]&gt;0,[b]&gt;0)</t>
        </is>
      </c>
      <c r="D44" t="n">
        <v>-1</v>
      </c>
      <c r="E44" t="n">
        <v>-2</v>
      </c>
      <c r="G44">
        <f>OR(D44&gt;0,E44&gt;0)</f>
        <v/>
      </c>
      <c r="H44">
        <f>IF(ISERROR(G44),ERROR.TYPE(G44),"")</f>
        <v/>
      </c>
      <c r="I44" t="inlineStr"/>
    </row>
    <row r="45">
      <c r="A45" t="inlineStr">
        <is>
          <t>c044</t>
        </is>
      </c>
      <c r="B45" t="inlineStr">
        <is>
          <t>OR</t>
        </is>
      </c>
      <c r="C45" s="2" t="inlineStr">
        <is>
          <t>=OR([a]="x",[b]=1)</t>
        </is>
      </c>
      <c r="G45">
        <f>OR(D45="x",E45=1)</f>
        <v/>
      </c>
      <c r="H45">
        <f>IF(ISERROR(G45),ERROR.TYPE(G45),"")</f>
        <v/>
      </c>
      <c r="I45" t="inlineStr"/>
    </row>
    <row r="46">
      <c r="A46" t="inlineStr">
        <is>
          <t>c045</t>
        </is>
      </c>
      <c r="B46" t="inlineStr">
        <is>
          <t>OR</t>
        </is>
      </c>
      <c r="C46" s="2" t="inlineStr">
        <is>
          <t>=OR(1/0,TRUE)</t>
        </is>
      </c>
      <c r="G46">
        <f>OR(1/0,TRUE)</f>
        <v/>
      </c>
      <c r="H46">
        <f>IF(ISERROR(G46),ERROR.TYPE(G46),"")</f>
        <v/>
      </c>
      <c r="I46" t="inlineStr"/>
    </row>
    <row r="47">
      <c r="A47" t="inlineStr">
        <is>
          <t>c046</t>
        </is>
      </c>
      <c r="B47" t="inlineStr">
        <is>
          <t>NOT</t>
        </is>
      </c>
      <c r="C47" s="2" t="inlineStr">
        <is>
          <t>=NOT([a]&gt;5)</t>
        </is>
      </c>
      <c r="D47" t="n">
        <v>7</v>
      </c>
      <c r="G47">
        <f>NOT(D47&gt;5)</f>
        <v/>
      </c>
      <c r="H47">
        <f>IF(ISERROR(G47),ERROR.TYPE(G47),"")</f>
        <v/>
      </c>
      <c r="I47" t="inlineStr"/>
    </row>
    <row r="48">
      <c r="A48" t="inlineStr">
        <is>
          <t>c047</t>
        </is>
      </c>
      <c r="B48" t="inlineStr">
        <is>
          <t>NOT</t>
        </is>
      </c>
      <c r="C48" s="2" t="inlineStr">
        <is>
          <t>=NOT([a])</t>
        </is>
      </c>
      <c r="G48">
        <f>NOT(D48)</f>
        <v/>
      </c>
      <c r="H48">
        <f>IF(ISERROR(G48),ERROR.TYPE(G48),"")</f>
        <v/>
      </c>
      <c r="I48" t="inlineStr"/>
    </row>
    <row r="49">
      <c r="A49" t="inlineStr">
        <is>
          <t>c048</t>
        </is>
      </c>
      <c r="B49" t="inlineStr">
        <is>
          <t>NOT</t>
        </is>
      </c>
      <c r="C49" s="2" t="inlineStr">
        <is>
          <t>=NOT([a])</t>
        </is>
      </c>
      <c r="D49" t="n">
        <v>-2</v>
      </c>
      <c r="G49">
        <f>NOT(D49)</f>
        <v/>
      </c>
      <c r="H49">
        <f>IF(ISERROR(G49),ERROR.TYPE(G49),"")</f>
        <v/>
      </c>
      <c r="I49" t="inlineStr"/>
    </row>
    <row r="50">
      <c r="A50" t="inlineStr">
        <is>
          <t>c049</t>
        </is>
      </c>
      <c r="B50" t="inlineStr">
        <is>
          <t>NOT</t>
        </is>
      </c>
      <c r="C50" s="2" t="inlineStr">
        <is>
          <t>=NOT("abc")</t>
        </is>
      </c>
      <c r="G50">
        <f>NOT("abc")</f>
        <v/>
      </c>
      <c r="H50">
        <f>IF(ISERROR(G50),ERROR.TYPE(G50),"")</f>
        <v/>
      </c>
      <c r="I50" t="inlineStr"/>
    </row>
    <row r="51">
      <c r="A51" t="inlineStr">
        <is>
          <t>c050</t>
        </is>
      </c>
      <c r="B51" t="inlineStr">
        <is>
          <t>SWITCH</t>
        </is>
      </c>
      <c r="C51" s="2" t="inlineStr">
        <is>
          <t>=SWITCH([a],1,"Một",2,"Hai","Khác")</t>
        </is>
      </c>
      <c r="D51" t="n">
        <v>1</v>
      </c>
      <c r="G51">
        <f>_xlfn.SWITCH(D51,1,"Một",2,"Hai","Khác")</f>
        <v/>
      </c>
      <c r="H51">
        <f>IF(ISERROR(G51),ERROR.TYPE(G51),"")</f>
        <v/>
      </c>
      <c r="I51" t="inlineStr"/>
    </row>
    <row r="52">
      <c r="A52" t="inlineStr">
        <is>
          <t>c051</t>
        </is>
      </c>
      <c r="B52" t="inlineStr">
        <is>
          <t>SWITCH</t>
        </is>
      </c>
      <c r="C52" s="2" t="inlineStr">
        <is>
          <t>=SWITCH([a],1,"Một",2,"Hai","Khác")</t>
        </is>
      </c>
      <c r="D52" t="n">
        <v>3</v>
      </c>
      <c r="G52">
        <f>_xlfn.SWITCH(D52,1,"Một",2,"Hai","Khác")</f>
        <v/>
      </c>
      <c r="H52">
        <f>IF(ISERROR(G52),ERROR.TYPE(G52),"")</f>
        <v/>
      </c>
      <c r="I52" t="inlineStr"/>
    </row>
    <row r="53">
      <c r="A53" t="inlineStr">
        <is>
          <t>c052</t>
        </is>
      </c>
      <c r="B53" t="inlineStr">
        <is>
          <t>SWITCH</t>
        </is>
      </c>
      <c r="C53" s="2" t="inlineStr">
        <is>
          <t>=SWITCH([a],"x",1)</t>
        </is>
      </c>
      <c r="D53" s="3" t="inlineStr">
        <is>
          <t>y</t>
        </is>
      </c>
      <c r="G53">
        <f>_xlfn.SWITCH(D53,"x",1)</f>
        <v/>
      </c>
      <c r="H53">
        <f>IF(ISERROR(G53),ERROR.TYPE(G53),"")</f>
        <v/>
      </c>
      <c r="I53" t="inlineStr"/>
    </row>
    <row r="54">
      <c r="A54" t="inlineStr">
        <is>
          <t>c053</t>
        </is>
      </c>
      <c r="B54" t="inlineStr">
        <is>
          <t>SWITCH</t>
        </is>
      </c>
      <c r="C54" s="2" t="inlineStr">
        <is>
          <t>=SWITCH([a],"hà nội","HN","SG")</t>
        </is>
      </c>
      <c r="D54" s="3" t="inlineStr">
        <is>
          <t>Hà Nội</t>
        </is>
      </c>
      <c r="G54">
        <f>_xlfn.SWITCH(D54,"hà nội","HN","SG")</f>
        <v/>
      </c>
      <c r="H54">
        <f>IF(ISERROR(G54),ERROR.TYPE(G54),"")</f>
        <v/>
      </c>
      <c r="I54" t="inlineStr"/>
    </row>
    <row r="55">
      <c r="A55" t="inlineStr">
        <is>
          <t>c054</t>
        </is>
      </c>
      <c r="B55" t="inlineStr">
        <is>
          <t>SWITCH</t>
        </is>
      </c>
      <c r="C55" s="2" t="inlineStr">
        <is>
          <t>=SWITCH([a],0,"Không","Khác")</t>
        </is>
      </c>
      <c r="G55">
        <f>_xlfn.SWITCH(D55,0,"Không","Khác")</f>
        <v/>
      </c>
      <c r="H55">
        <f>IF(ISERROR(G55),ERROR.TYPE(G55),"")</f>
        <v/>
      </c>
      <c r="I55" t="inlineStr">
        <is>
          <t>SWITCH so ô trống với 0</t>
        </is>
      </c>
    </row>
    <row r="56">
      <c r="A56" t="inlineStr">
        <is>
          <t>c055</t>
        </is>
      </c>
      <c r="B56" t="inlineStr">
        <is>
          <t>IFERROR</t>
        </is>
      </c>
      <c r="C56" s="2" t="inlineStr">
        <is>
          <t>=IFERROR([a]/[b],0)</t>
        </is>
      </c>
      <c r="D56" t="n">
        <v>1</v>
      </c>
      <c r="E56" t="n">
        <v>0</v>
      </c>
      <c r="G56">
        <f>IFERROR(D56/E56,0)</f>
        <v/>
      </c>
      <c r="H56">
        <f>IF(ISERROR(G56),ERROR.TYPE(G56),"")</f>
        <v/>
      </c>
      <c r="I56" t="inlineStr"/>
    </row>
    <row r="57">
      <c r="A57" t="inlineStr">
        <is>
          <t>c056</t>
        </is>
      </c>
      <c r="B57" t="inlineStr">
        <is>
          <t>IFERROR</t>
        </is>
      </c>
      <c r="C57" s="2" t="inlineStr">
        <is>
          <t>=IFERROR([a]/[b],0)</t>
        </is>
      </c>
      <c r="D57" t="n">
        <v>6</v>
      </c>
      <c r="E57" t="n">
        <v>3</v>
      </c>
      <c r="G57">
        <f>IFERROR(D57/E57,0)</f>
        <v/>
      </c>
      <c r="H57">
        <f>IF(ISERROR(G57),ERROR.TYPE(G57),"")</f>
        <v/>
      </c>
      <c r="I57" t="inlineStr"/>
    </row>
    <row r="58">
      <c r="A58" t="inlineStr">
        <is>
          <t>c057</t>
        </is>
      </c>
      <c r="B58" t="inlineStr">
        <is>
          <t>IFERROR</t>
        </is>
      </c>
      <c r="C58" s="2" t="inlineStr">
        <is>
          <t>=IFERROR(VALUE([a]),-1)</t>
        </is>
      </c>
      <c r="D58" s="3" t="inlineStr">
        <is>
          <t>abc</t>
        </is>
      </c>
      <c r="G58">
        <f>IFERROR(VALUE(D58),-1)</f>
        <v/>
      </c>
      <c r="H58">
        <f>IF(ISERROR(G58),ERROR.TYPE(G58),"")</f>
        <v/>
      </c>
      <c r="I58" t="inlineStr"/>
    </row>
    <row r="59">
      <c r="A59" t="inlineStr">
        <is>
          <t>c058</t>
        </is>
      </c>
      <c r="B59" t="inlineStr">
        <is>
          <t>IFERROR</t>
        </is>
      </c>
      <c r="C59" s="2" t="inlineStr">
        <is>
          <t>=IFERROR(SWITCH([a],"x",1),2)</t>
        </is>
      </c>
      <c r="D59" s="3" t="inlineStr">
        <is>
          <t>y</t>
        </is>
      </c>
      <c r="G59">
        <f>IFERROR(_xlfn.SWITCH(D59,"x",1),2)</f>
        <v/>
      </c>
      <c r="H59">
        <f>IF(ISERROR(G59),ERROR.TYPE(G59),"")</f>
        <v/>
      </c>
      <c r="I59" t="inlineStr"/>
    </row>
    <row r="60">
      <c r="A60" t="inlineStr">
        <is>
          <t>c059</t>
        </is>
      </c>
      <c r="B60" t="inlineStr">
        <is>
          <t>ISBLANK</t>
        </is>
      </c>
      <c r="C60" s="2" t="inlineStr">
        <is>
          <t>=ISBLANK([a])</t>
        </is>
      </c>
      <c r="G60">
        <f>ISBLANK(D60)</f>
        <v/>
      </c>
      <c r="H60">
        <f>IF(ISERROR(G60),ERROR.TYPE(G60),"")</f>
        <v/>
      </c>
      <c r="I60" t="inlineStr"/>
    </row>
    <row r="61">
      <c r="A61" t="inlineStr">
        <is>
          <t>c060</t>
        </is>
      </c>
      <c r="B61" t="inlineStr">
        <is>
          <t>ISBLANK</t>
        </is>
      </c>
      <c r="C61" s="2" t="inlineStr">
        <is>
          <t>=ISBLANK([a])</t>
        </is>
      </c>
      <c r="D61" t="n">
        <v>0</v>
      </c>
      <c r="G61">
        <f>ISBLANK(D61)</f>
        <v/>
      </c>
      <c r="H61">
        <f>IF(ISERROR(G61),ERROR.TYPE(G61),"")</f>
        <v/>
      </c>
      <c r="I61" t="inlineStr"/>
    </row>
    <row r="62">
      <c r="A62" t="inlineStr">
        <is>
          <t>c061</t>
        </is>
      </c>
      <c r="B62" t="inlineStr">
        <is>
          <t>ISBLANK</t>
        </is>
      </c>
      <c r="C62" s="2" t="inlineStr">
        <is>
          <t>=ISBLANK([a])</t>
        </is>
      </c>
      <c r="D62" s="3" t="inlineStr">
        <is>
          <t>Nguyễn</t>
        </is>
      </c>
      <c r="G62">
        <f>ISBLANK(D62)</f>
        <v/>
      </c>
      <c r="H62">
        <f>IF(ISERROR(G62),ERROR.TYPE(G62),"")</f>
        <v/>
      </c>
      <c r="I62" t="inlineStr"/>
    </row>
    <row r="63">
      <c r="A63" t="inlineStr">
        <is>
          <t>c062</t>
        </is>
      </c>
      <c r="B63" t="inlineStr">
        <is>
          <t>ISNUMBER</t>
        </is>
      </c>
      <c r="C63" s="2" t="inlineStr">
        <is>
          <t>=ISNUMBER([a])</t>
        </is>
      </c>
      <c r="D63" t="n">
        <v>5</v>
      </c>
      <c r="G63">
        <f>ISNUMBER(D63)</f>
        <v/>
      </c>
      <c r="H63">
        <f>IF(ISERROR(G63),ERROR.TYPE(G63),"")</f>
        <v/>
      </c>
      <c r="I63" t="inlineStr"/>
    </row>
    <row r="64">
      <c r="A64" t="inlineStr">
        <is>
          <t>c063</t>
        </is>
      </c>
      <c r="B64" t="inlineStr">
        <is>
          <t>ISNUMBER</t>
        </is>
      </c>
      <c r="C64" s="2" t="inlineStr">
        <is>
          <t>=ISNUMBER([a])</t>
        </is>
      </c>
      <c r="D64" s="3" t="inlineStr">
        <is>
          <t>5</t>
        </is>
      </c>
      <c r="G64">
        <f>ISNUMBER(D64)</f>
        <v/>
      </c>
      <c r="H64">
        <f>IF(ISERROR(G64),ERROR.TYPE(G64),"")</f>
        <v/>
      </c>
      <c r="I64" t="inlineStr"/>
    </row>
    <row r="65">
      <c r="A65" t="inlineStr">
        <is>
          <t>c064</t>
        </is>
      </c>
      <c r="B65" t="inlineStr">
        <is>
          <t>ISNUMBER</t>
        </is>
      </c>
      <c r="C65" s="2" t="inlineStr">
        <is>
          <t>=ISNUMBER([a])</t>
        </is>
      </c>
      <c r="G65">
        <f>ISNUMBER(D65)</f>
        <v/>
      </c>
      <c r="H65">
        <f>IF(ISERROR(G65),ERROR.TYPE(G65),"")</f>
        <v/>
      </c>
      <c r="I65" t="inlineStr"/>
    </row>
    <row r="66">
      <c r="A66" t="inlineStr">
        <is>
          <t>c065</t>
        </is>
      </c>
      <c r="B66" t="inlineStr">
        <is>
          <t>ISNUMBER</t>
        </is>
      </c>
      <c r="C66" s="2" t="inlineStr">
        <is>
          <t>=ISNUMBER([a])</t>
        </is>
      </c>
      <c r="D66" s="4" t="n">
        <v>45351</v>
      </c>
      <c r="G66">
        <f>ISNUMBER(D66)</f>
        <v/>
      </c>
      <c r="H66">
        <f>IF(ISERROR(G66),ERROR.TYPE(G66),"")</f>
        <v/>
      </c>
      <c r="I66" t="inlineStr"/>
    </row>
    <row r="67">
      <c r="A67" t="inlineStr">
        <is>
          <t>c066</t>
        </is>
      </c>
      <c r="B67" t="inlineStr">
        <is>
          <t>ROUND</t>
        </is>
      </c>
      <c r="C67" s="2" t="inlineStr">
        <is>
          <t>=ROUND(2.675,2)</t>
        </is>
      </c>
      <c r="G67">
        <f>ROUND(2.675,2)</f>
        <v/>
      </c>
      <c r="H67">
        <f>IF(ISERROR(G67),ERROR.TYPE(G67),"")</f>
        <v/>
      </c>
      <c r="I67" t="inlineStr"/>
    </row>
    <row r="68">
      <c r="A68" t="inlineStr">
        <is>
          <t>c067</t>
        </is>
      </c>
      <c r="B68" t="inlineStr">
        <is>
          <t>ROUND</t>
        </is>
      </c>
      <c r="C68" s="2" t="inlineStr">
        <is>
          <t>=ROUND(-2.5,0)</t>
        </is>
      </c>
      <c r="G68">
        <f>ROUND(-2.5,0)</f>
        <v/>
      </c>
      <c r="H68">
        <f>IF(ISERROR(G68),ERROR.TYPE(G68),"")</f>
        <v/>
      </c>
      <c r="I68" t="inlineStr"/>
    </row>
    <row r="69">
      <c r="A69" t="inlineStr">
        <is>
          <t>c068</t>
        </is>
      </c>
      <c r="B69" t="inlineStr">
        <is>
          <t>ROUND</t>
        </is>
      </c>
      <c r="C69" s="2" t="inlineStr">
        <is>
          <t>=ROUND([a],-2)</t>
        </is>
      </c>
      <c r="D69" t="n">
        <v>1234.5678</v>
      </c>
      <c r="G69">
        <f>ROUND(D69,-2)</f>
        <v/>
      </c>
      <c r="H69">
        <f>IF(ISERROR(G69),ERROR.TYPE(G69),"")</f>
        <v/>
      </c>
      <c r="I69" t="inlineStr"/>
    </row>
    <row r="70">
      <c r="A70" t="inlineStr">
        <is>
          <t>c069</t>
        </is>
      </c>
      <c r="B70" t="inlineStr">
        <is>
          <t>ROUND</t>
        </is>
      </c>
      <c r="C70" s="2" t="inlineStr">
        <is>
          <t>=ROUND([a],1)</t>
        </is>
      </c>
      <c r="G70">
        <f>ROUND(D70,1)</f>
        <v/>
      </c>
      <c r="H70">
        <f>IF(ISERROR(G70),ERROR.TYPE(G70),"")</f>
        <v/>
      </c>
      <c r="I70" t="inlineStr"/>
    </row>
    <row r="71">
      <c r="A71" t="inlineStr">
        <is>
          <t>c070</t>
        </is>
      </c>
      <c r="B71" t="inlineStr">
        <is>
          <t>ROUND</t>
        </is>
      </c>
      <c r="C71" s="2" t="inlineStr">
        <is>
          <t>=ROUND([a],1)</t>
        </is>
      </c>
      <c r="D71" s="3" t="inlineStr">
        <is>
          <t>abc</t>
        </is>
      </c>
      <c r="G71">
        <f>ROUND(D71,1)</f>
        <v/>
      </c>
      <c r="H71">
        <f>IF(ISERROR(G71),ERROR.TYPE(G71),"")</f>
        <v/>
      </c>
      <c r="I71" t="inlineStr"/>
    </row>
    <row r="72">
      <c r="A72" t="inlineStr">
        <is>
          <t>c071</t>
        </is>
      </c>
      <c r="B72" t="inlineStr">
        <is>
          <t>ROUND</t>
        </is>
      </c>
      <c r="C72" s="2" t="inlineStr">
        <is>
          <t>=ROUND(1.2345,2.9)</t>
        </is>
      </c>
      <c r="G72">
        <f>ROUND(1.2345,2.9)</f>
        <v/>
      </c>
      <c r="H72">
        <f>IF(ISERROR(G72),ERROR.TYPE(G72),"")</f>
        <v/>
      </c>
      <c r="I72" t="inlineStr"/>
    </row>
    <row r="73">
      <c r="A73" t="inlineStr">
        <is>
          <t>c072</t>
        </is>
      </c>
      <c r="B73" t="inlineStr">
        <is>
          <t>ROUNDUP</t>
        </is>
      </c>
      <c r="C73" s="2" t="inlineStr">
        <is>
          <t>=ROUNDUP(-1.21,1)</t>
        </is>
      </c>
      <c r="G73">
        <f>ROUNDUP(-1.21,1)</f>
        <v/>
      </c>
      <c r="H73">
        <f>IF(ISERROR(G73),ERROR.TYPE(G73),"")</f>
        <v/>
      </c>
      <c r="I73" t="inlineStr"/>
    </row>
    <row r="74">
      <c r="A74" t="inlineStr">
        <is>
          <t>c073</t>
        </is>
      </c>
      <c r="B74" t="inlineStr">
        <is>
          <t>ROUNDUP</t>
        </is>
      </c>
      <c r="C74" s="2" t="inlineStr">
        <is>
          <t>=ROUNDUP(1.201,2)</t>
        </is>
      </c>
      <c r="G74">
        <f>ROUNDUP(1.201,2)</f>
        <v/>
      </c>
      <c r="H74">
        <f>IF(ISERROR(G74),ERROR.TYPE(G74),"")</f>
        <v/>
      </c>
      <c r="I74" t="inlineStr"/>
    </row>
    <row r="75">
      <c r="A75" t="inlineStr">
        <is>
          <t>c074</t>
        </is>
      </c>
      <c r="B75" t="inlineStr">
        <is>
          <t>ROUNDUP</t>
        </is>
      </c>
      <c r="C75" s="2" t="inlineStr">
        <is>
          <t>=ROUNDUP([a],-1)</t>
        </is>
      </c>
      <c r="D75" t="n">
        <v>5</v>
      </c>
      <c r="G75">
        <f>ROUNDUP(D75,-1)</f>
        <v/>
      </c>
      <c r="H75">
        <f>IF(ISERROR(G75),ERROR.TYPE(G75),"")</f>
        <v/>
      </c>
      <c r="I75" t="inlineStr"/>
    </row>
    <row r="76">
      <c r="A76" t="inlineStr">
        <is>
          <t>c075</t>
        </is>
      </c>
      <c r="B76" t="inlineStr">
        <is>
          <t>ROUNDDOWN</t>
        </is>
      </c>
      <c r="C76" s="2" t="inlineStr">
        <is>
          <t>=ROUNDDOWN(1.29,1)</t>
        </is>
      </c>
      <c r="G76">
        <f>ROUNDDOWN(1.29,1)</f>
        <v/>
      </c>
      <c r="H76">
        <f>IF(ISERROR(G76),ERROR.TYPE(G76),"")</f>
        <v/>
      </c>
      <c r="I76" t="inlineStr"/>
    </row>
    <row r="77">
      <c r="A77" t="inlineStr">
        <is>
          <t>c076</t>
        </is>
      </c>
      <c r="B77" t="inlineStr">
        <is>
          <t>ROUNDDOWN</t>
        </is>
      </c>
      <c r="C77" s="2" t="inlineStr">
        <is>
          <t>=ROUNDDOWN(-1.29,1)</t>
        </is>
      </c>
      <c r="G77">
        <f>ROUNDDOWN(-1.29,1)</f>
        <v/>
      </c>
      <c r="H77">
        <f>IF(ISERROR(G77),ERROR.TYPE(G77),"")</f>
        <v/>
      </c>
      <c r="I77" t="inlineStr"/>
    </row>
    <row r="78">
      <c r="A78" t="inlineStr">
        <is>
          <t>c077</t>
        </is>
      </c>
      <c r="B78" t="inlineStr">
        <is>
          <t>ROUNDDOWN</t>
        </is>
      </c>
      <c r="C78" s="2" t="inlineStr">
        <is>
          <t>=ROUNDDOWN([a],-2)</t>
        </is>
      </c>
      <c r="D78" t="n">
        <v>999</v>
      </c>
      <c r="G78">
        <f>ROUNDDOWN(D78,-2)</f>
        <v/>
      </c>
      <c r="H78">
        <f>IF(ISERROR(G78),ERROR.TYPE(G78),"")</f>
        <v/>
      </c>
      <c r="I78" t="inlineStr"/>
    </row>
    <row r="79">
      <c r="A79" t="inlineStr">
        <is>
          <t>c078</t>
        </is>
      </c>
      <c r="B79" t="inlineStr">
        <is>
          <t>INT</t>
        </is>
      </c>
      <c r="C79" s="2" t="inlineStr">
        <is>
          <t>=INT(-1.5)</t>
        </is>
      </c>
      <c r="G79">
        <f>INT(-1.5)</f>
        <v/>
      </c>
      <c r="H79">
        <f>IF(ISERROR(G79),ERROR.TYPE(G79),"")</f>
        <v/>
      </c>
      <c r="I79" t="inlineStr"/>
    </row>
    <row r="80">
      <c r="A80" t="inlineStr">
        <is>
          <t>c079</t>
        </is>
      </c>
      <c r="B80" t="inlineStr">
        <is>
          <t>INT</t>
        </is>
      </c>
      <c r="C80" s="2" t="inlineStr">
        <is>
          <t>=INT([a])</t>
        </is>
      </c>
      <c r="D80" t="n">
        <v>2.9</v>
      </c>
      <c r="G80">
        <f>INT(D80)</f>
        <v/>
      </c>
      <c r="H80">
        <f>IF(ISERROR(G80),ERROR.TYPE(G80),"")</f>
        <v/>
      </c>
      <c r="I80" t="inlineStr"/>
    </row>
    <row r="81">
      <c r="A81" t="inlineStr">
        <is>
          <t>c080</t>
        </is>
      </c>
      <c r="B81" t="inlineStr">
        <is>
          <t>INT</t>
        </is>
      </c>
      <c r="C81" s="2" t="inlineStr">
        <is>
          <t>=INT([a])</t>
        </is>
      </c>
      <c r="G81">
        <f>INT(D81)</f>
        <v/>
      </c>
      <c r="H81">
        <f>IF(ISERROR(G81),ERROR.TYPE(G81),"")</f>
        <v/>
      </c>
      <c r="I81" t="inlineStr"/>
    </row>
    <row r="82">
      <c r="A82" t="inlineStr">
        <is>
          <t>c081</t>
        </is>
      </c>
      <c r="B82" t="inlineStr">
        <is>
          <t>ABS</t>
        </is>
      </c>
      <c r="C82" s="2" t="inlineStr">
        <is>
          <t>=ABS([a])</t>
        </is>
      </c>
      <c r="D82" t="n">
        <v>-3.5</v>
      </c>
      <c r="G82">
        <f>ABS(D82)</f>
        <v/>
      </c>
      <c r="H82">
        <f>IF(ISERROR(G82),ERROR.TYPE(G82),"")</f>
        <v/>
      </c>
      <c r="I82" t="inlineStr"/>
    </row>
    <row r="83">
      <c r="A83" t="inlineStr">
        <is>
          <t>c082</t>
        </is>
      </c>
      <c r="B83" t="inlineStr">
        <is>
          <t>ABS</t>
        </is>
      </c>
      <c r="C83" s="2" t="inlineStr">
        <is>
          <t>=ABS([a])</t>
        </is>
      </c>
      <c r="G83">
        <f>ABS(D83)</f>
        <v/>
      </c>
      <c r="H83">
        <f>IF(ISERROR(G83),ERROR.TYPE(G83),"")</f>
        <v/>
      </c>
      <c r="I83" t="inlineStr"/>
    </row>
    <row r="84">
      <c r="A84" t="inlineStr">
        <is>
          <t>c083</t>
        </is>
      </c>
      <c r="B84" t="inlineStr">
        <is>
          <t>ABS</t>
        </is>
      </c>
      <c r="C84" s="2" t="inlineStr">
        <is>
          <t>=ABS("abc")</t>
        </is>
      </c>
      <c r="G84">
        <f>ABS("abc")</f>
        <v/>
      </c>
      <c r="H84">
        <f>IF(ISERROR(G84),ERROR.TYPE(G84),"")</f>
        <v/>
      </c>
      <c r="I84" t="inlineStr"/>
    </row>
    <row r="85">
      <c r="A85" t="inlineStr">
        <is>
          <t>c084</t>
        </is>
      </c>
      <c r="B85" t="inlineStr">
        <is>
          <t>MIN</t>
        </is>
      </c>
      <c r="C85" s="2" t="inlineStr">
        <is>
          <t>=MIN([a],[b],[c])</t>
        </is>
      </c>
      <c r="D85" t="n">
        <v>3</v>
      </c>
      <c r="E85" t="n">
        <v>-1</v>
      </c>
      <c r="F85" t="n">
        <v>2</v>
      </c>
      <c r="G85">
        <f>MIN(D85,E85,F85)</f>
        <v/>
      </c>
      <c r="H85">
        <f>IF(ISERROR(G85),ERROR.TYPE(G85),"")</f>
        <v/>
      </c>
      <c r="I85" t="inlineStr"/>
    </row>
    <row r="86">
      <c r="A86" t="inlineStr">
        <is>
          <t>c085</t>
        </is>
      </c>
      <c r="B86" t="inlineStr">
        <is>
          <t>MIN</t>
        </is>
      </c>
      <c r="C86" s="2" t="inlineStr">
        <is>
          <t>=MIN([a],[b],[c])</t>
        </is>
      </c>
      <c r="E86" t="n">
        <v>2</v>
      </c>
      <c r="F86" t="n">
        <v>5</v>
      </c>
      <c r="G86">
        <f>MIN(D86,E86,F86)</f>
        <v/>
      </c>
      <c r="H86">
        <f>IF(ISERROR(G86),ERROR.TYPE(G86),"")</f>
        <v/>
      </c>
      <c r="I86" t="inlineStr"/>
    </row>
    <row r="87">
      <c r="A87" t="inlineStr">
        <is>
          <t>c086</t>
        </is>
      </c>
      <c r="B87" t="inlineStr">
        <is>
          <t>MIN</t>
        </is>
      </c>
      <c r="C87" s="2" t="inlineStr">
        <is>
          <t>=MIN([a],[b])</t>
        </is>
      </c>
      <c r="D87" s="3" t="inlineStr">
        <is>
          <t>abc</t>
        </is>
      </c>
      <c r="E87" t="n">
        <v>7</v>
      </c>
      <c r="G87">
        <f>MIN(D87,E87)</f>
        <v/>
      </c>
      <c r="H87">
        <f>IF(ISERROR(G87),ERROR.TYPE(G87),"")</f>
        <v/>
      </c>
      <c r="I87" t="inlineStr"/>
    </row>
    <row r="88">
      <c r="A88" t="inlineStr">
        <is>
          <t>c087</t>
        </is>
      </c>
      <c r="B88" t="inlineStr">
        <is>
          <t>MIN</t>
        </is>
      </c>
      <c r="C88" s="2" t="inlineStr">
        <is>
          <t>=MIN([a])</t>
        </is>
      </c>
      <c r="G88">
        <f>MIN(D88)</f>
        <v/>
      </c>
      <c r="H88">
        <f>IF(ISERROR(G88),ERROR.TYPE(G88),"")</f>
        <v/>
      </c>
      <c r="I88" t="inlineStr"/>
    </row>
    <row r="89">
      <c r="A89" t="inlineStr">
        <is>
          <t>c088</t>
        </is>
      </c>
      <c r="B89" t="inlineStr">
        <is>
          <t>MAX</t>
        </is>
      </c>
      <c r="C89" s="2" t="inlineStr">
        <is>
          <t>=MAX([a],[b],[c])</t>
        </is>
      </c>
      <c r="D89" t="n">
        <v>3</v>
      </c>
      <c r="E89" t="n">
        <v>-1</v>
      </c>
      <c r="F89" t="n">
        <v>2</v>
      </c>
      <c r="G89">
        <f>MAX(D89,E89,F89)</f>
        <v/>
      </c>
      <c r="H89">
        <f>IF(ISERROR(G89),ERROR.TYPE(G89),"")</f>
        <v/>
      </c>
      <c r="I89" t="inlineStr"/>
    </row>
    <row r="90">
      <c r="A90" t="inlineStr">
        <is>
          <t>c089</t>
        </is>
      </c>
      <c r="B90" t="inlineStr">
        <is>
          <t>MAX</t>
        </is>
      </c>
      <c r="C90" s="2" t="inlineStr">
        <is>
          <t>=MAX([a],[b])</t>
        </is>
      </c>
      <c r="E90" t="n">
        <v>-5</v>
      </c>
      <c r="G90">
        <f>MAX(D90,E90)</f>
        <v/>
      </c>
      <c r="H90">
        <f>IF(ISERROR(G90),ERROR.TYPE(G90),"")</f>
        <v/>
      </c>
      <c r="I90" t="inlineStr"/>
    </row>
    <row r="91">
      <c r="A91" t="inlineStr">
        <is>
          <t>c090</t>
        </is>
      </c>
      <c r="B91" t="inlineStr">
        <is>
          <t>MAX</t>
        </is>
      </c>
      <c r="C91" s="2" t="inlineStr">
        <is>
          <t>=MAX([a],[b])</t>
        </is>
      </c>
      <c r="D91" s="3" t="inlineStr">
        <is>
          <t>abc</t>
        </is>
      </c>
      <c r="E91" t="n">
        <v>-7</v>
      </c>
      <c r="G91">
        <f>MAX(D91,E91)</f>
        <v/>
      </c>
      <c r="H91">
        <f>IF(ISERROR(G91),ERROR.TYPE(G91),"")</f>
        <v/>
      </c>
      <c r="I91" t="inlineStr"/>
    </row>
    <row r="92">
      <c r="A92" t="inlineStr">
        <is>
          <t>c091</t>
        </is>
      </c>
      <c r="B92" t="inlineStr">
        <is>
          <t>MOD</t>
        </is>
      </c>
      <c r="C92" s="2" t="inlineStr">
        <is>
          <t>=MOD(-3,2)</t>
        </is>
      </c>
      <c r="G92">
        <f>MOD(-3,2)</f>
        <v/>
      </c>
      <c r="H92">
        <f>IF(ISERROR(G92),ERROR.TYPE(G92),"")</f>
        <v/>
      </c>
      <c r="I92" t="inlineStr"/>
    </row>
    <row r="93">
      <c r="A93" t="inlineStr">
        <is>
          <t>c092</t>
        </is>
      </c>
      <c r="B93" t="inlineStr">
        <is>
          <t>MOD</t>
        </is>
      </c>
      <c r="C93" s="2" t="inlineStr">
        <is>
          <t>=MOD(3,-2)</t>
        </is>
      </c>
      <c r="G93">
        <f>MOD(3,-2)</f>
        <v/>
      </c>
      <c r="H93">
        <f>IF(ISERROR(G93),ERROR.TYPE(G93),"")</f>
        <v/>
      </c>
      <c r="I93" t="inlineStr"/>
    </row>
    <row r="94">
      <c r="A94" t="inlineStr">
        <is>
          <t>c093</t>
        </is>
      </c>
      <c r="B94" t="inlineStr">
        <is>
          <t>MOD</t>
        </is>
      </c>
      <c r="C94" s="2" t="inlineStr">
        <is>
          <t>=MOD([a],[b])</t>
        </is>
      </c>
      <c r="D94" t="n">
        <v>5</v>
      </c>
      <c r="G94">
        <f>MOD(D94,E94)</f>
        <v/>
      </c>
      <c r="H94">
        <f>IF(ISERROR(G94),ERROR.TYPE(G94),"")</f>
        <v/>
      </c>
      <c r="I94" t="inlineStr"/>
    </row>
    <row r="95">
      <c r="A95" t="inlineStr">
        <is>
          <t>c094</t>
        </is>
      </c>
      <c r="B95" t="inlineStr">
        <is>
          <t>MOD</t>
        </is>
      </c>
      <c r="C95" s="2" t="inlineStr">
        <is>
          <t>=MOD(5.5,2)</t>
        </is>
      </c>
      <c r="G95">
        <f>MOD(5.5,2)</f>
        <v/>
      </c>
      <c r="H95">
        <f>IF(ISERROR(G95),ERROR.TYPE(G95),"")</f>
        <v/>
      </c>
      <c r="I95" t="inlineStr"/>
    </row>
    <row r="96">
      <c r="A96" t="inlineStr">
        <is>
          <t>c095</t>
        </is>
      </c>
      <c r="B96" t="inlineStr">
        <is>
          <t>SUM</t>
        </is>
      </c>
      <c r="C96" s="2" t="inlineStr">
        <is>
          <t>=SUM([a],[b])</t>
        </is>
      </c>
      <c r="E96" t="n">
        <v>2</v>
      </c>
      <c r="G96">
        <f>SUM(D96,E96)</f>
        <v/>
      </c>
      <c r="H96">
        <f>IF(ISERROR(G96),ERROR.TYPE(G96),"")</f>
        <v/>
      </c>
      <c r="I96" t="inlineStr"/>
    </row>
    <row r="97">
      <c r="A97" t="inlineStr">
        <is>
          <t>c096</t>
        </is>
      </c>
      <c r="B97" t="inlineStr">
        <is>
          <t>SUM</t>
        </is>
      </c>
      <c r="C97" s="2" t="inlineStr">
        <is>
          <t>=SUM([a],[b])</t>
        </is>
      </c>
      <c r="D97" t="n">
        <v>1.1</v>
      </c>
      <c r="E97" t="n">
        <v>2.2</v>
      </c>
      <c r="G97">
        <f>SUM(D97,E97)</f>
        <v/>
      </c>
      <c r="H97">
        <f>IF(ISERROR(G97),ERROR.TYPE(G97),"")</f>
        <v/>
      </c>
      <c r="I97" t="inlineStr"/>
    </row>
    <row r="98">
      <c r="A98" t="inlineStr">
        <is>
          <t>c097</t>
        </is>
      </c>
      <c r="B98" t="inlineStr">
        <is>
          <t>SUM</t>
        </is>
      </c>
      <c r="C98" s="2" t="inlineStr">
        <is>
          <t>=SUM([a],[b])</t>
        </is>
      </c>
      <c r="D98" s="3" t="inlineStr">
        <is>
          <t>abc</t>
        </is>
      </c>
      <c r="E98" t="n">
        <v>-5</v>
      </c>
      <c r="G98">
        <f>SUM(D98,E98)</f>
        <v/>
      </c>
      <c r="H98">
        <f>IF(ISERROR(G98),ERROR.TYPE(G98),"")</f>
        <v/>
      </c>
      <c r="I98" t="inlineStr"/>
    </row>
    <row r="99">
      <c r="A99" t="inlineStr">
        <is>
          <t>c098</t>
        </is>
      </c>
      <c r="B99" t="inlineStr">
        <is>
          <t>SUM</t>
        </is>
      </c>
      <c r="C99" s="2" t="inlineStr">
        <is>
          <t>=SUM("abc",1)</t>
        </is>
      </c>
      <c r="G99">
        <f>SUM("abc",1)</f>
        <v/>
      </c>
      <c r="H99">
        <f>IF(ISERROR(G99),ERROR.TYPE(G99),"")</f>
        <v/>
      </c>
      <c r="I99" t="inlineStr"/>
    </row>
    <row r="100">
      <c r="A100" t="inlineStr">
        <is>
          <t>c099</t>
        </is>
      </c>
      <c r="B100" t="inlineStr">
        <is>
          <t>LEFT</t>
        </is>
      </c>
      <c r="C100" s="2" t="inlineStr">
        <is>
          <t>=LEFT([a],3)</t>
        </is>
      </c>
      <c r="D100" s="3" t="inlineStr">
        <is>
          <t>Nguyễn</t>
        </is>
      </c>
      <c r="G100">
        <f>LEFT(D100,3)</f>
        <v/>
      </c>
      <c r="H100">
        <f>IF(ISERROR(G100),ERROR.TYPE(G100),"")</f>
        <v/>
      </c>
      <c r="I100" t="inlineStr"/>
    </row>
    <row r="101">
      <c r="A101" t="inlineStr">
        <is>
          <t>c100</t>
        </is>
      </c>
      <c r="B101" t="inlineStr">
        <is>
          <t>LEFT</t>
        </is>
      </c>
      <c r="C101" s="2" t="inlineStr">
        <is>
          <t>=LEFT([a])</t>
        </is>
      </c>
      <c r="D101" s="3" t="inlineStr">
        <is>
          <t>abc</t>
        </is>
      </c>
      <c r="G101">
        <f>LEFT(D101)</f>
        <v/>
      </c>
      <c r="H101">
        <f>IF(ISERROR(G101),ERROR.TYPE(G101),"")</f>
        <v/>
      </c>
      <c r="I101" t="inlineStr"/>
    </row>
    <row r="102">
      <c r="A102" t="inlineStr">
        <is>
          <t>c101</t>
        </is>
      </c>
      <c r="B102" t="inlineStr">
        <is>
          <t>LEFT</t>
        </is>
      </c>
      <c r="C102" s="2" t="inlineStr">
        <is>
          <t>=LEFT([a],2)</t>
        </is>
      </c>
      <c r="G102">
        <f>LEFT(D102,2)</f>
        <v/>
      </c>
      <c r="H102">
        <f>IF(ISERROR(G102),ERROR.TYPE(G102),"")</f>
        <v/>
      </c>
      <c r="I102" t="inlineStr">
        <is>
          <t>Engine: chuỗi rỗng là ô trống (spec §12.1).</t>
        </is>
      </c>
    </row>
    <row r="103">
      <c r="A103" t="inlineStr">
        <is>
          <t>c102</t>
        </is>
      </c>
      <c r="B103" t="inlineStr">
        <is>
          <t>LEFT</t>
        </is>
      </c>
      <c r="C103" s="2" t="inlineStr">
        <is>
          <t>=LEFT([a],-1)</t>
        </is>
      </c>
      <c r="D103" s="3" t="inlineStr">
        <is>
          <t>abc</t>
        </is>
      </c>
      <c r="G103">
        <f>LEFT(D103,-1)</f>
        <v/>
      </c>
      <c r="H103">
        <f>IF(ISERROR(G103),ERROR.TYPE(G103),"")</f>
        <v/>
      </c>
      <c r="I103" t="inlineStr"/>
    </row>
    <row r="104">
      <c r="A104" t="inlineStr">
        <is>
          <t>c103</t>
        </is>
      </c>
      <c r="B104" t="inlineStr">
        <is>
          <t>LEFT</t>
        </is>
      </c>
      <c r="C104" s="2" t="inlineStr">
        <is>
          <t>=LEFT([a],2)</t>
        </is>
      </c>
      <c r="D104" t="n">
        <v>12345</v>
      </c>
      <c r="G104">
        <f>LEFT(D104,2)</f>
        <v/>
      </c>
      <c r="H104">
        <f>IF(ISERROR(G104),ERROR.TYPE(G104),"")</f>
        <v/>
      </c>
      <c r="I104" t="inlineStr"/>
    </row>
    <row r="105">
      <c r="A105" t="inlineStr">
        <is>
          <t>c104</t>
        </is>
      </c>
      <c r="B105" t="inlineStr">
        <is>
          <t>RIGHT</t>
        </is>
      </c>
      <c r="C105" s="2" t="inlineStr">
        <is>
          <t>=RIGHT([a],2)</t>
        </is>
      </c>
      <c r="D105" s="3" t="inlineStr">
        <is>
          <t>Nguyễn</t>
        </is>
      </c>
      <c r="G105">
        <f>RIGHT(D105,2)</f>
        <v/>
      </c>
      <c r="H105">
        <f>IF(ISERROR(G105),ERROR.TYPE(G105),"")</f>
        <v/>
      </c>
      <c r="I105" t="inlineStr"/>
    </row>
    <row r="106">
      <c r="A106" t="inlineStr">
        <is>
          <t>c105</t>
        </is>
      </c>
      <c r="B106" t="inlineStr">
        <is>
          <t>RIGHT</t>
        </is>
      </c>
      <c r="C106" s="2" t="inlineStr">
        <is>
          <t>=RIGHT([a],5)</t>
        </is>
      </c>
      <c r="D106" s="3" t="inlineStr">
        <is>
          <t>abc</t>
        </is>
      </c>
      <c r="G106">
        <f>RIGHT(D106,5)</f>
        <v/>
      </c>
      <c r="H106">
        <f>IF(ISERROR(G106),ERROR.TYPE(G106),"")</f>
        <v/>
      </c>
      <c r="I106" t="inlineStr"/>
    </row>
    <row r="107">
      <c r="A107" t="inlineStr">
        <is>
          <t>c106</t>
        </is>
      </c>
      <c r="B107" t="inlineStr">
        <is>
          <t>RIGHT</t>
        </is>
      </c>
      <c r="C107" s="2" t="inlineStr">
        <is>
          <t>=RIGHT([a],3)</t>
        </is>
      </c>
      <c r="D107" s="3" t="inlineStr">
        <is>
          <t>00123</t>
        </is>
      </c>
      <c r="G107">
        <f>RIGHT(D107,3)</f>
        <v/>
      </c>
      <c r="H107">
        <f>IF(ISERROR(G107),ERROR.TYPE(G107),"")</f>
        <v/>
      </c>
      <c r="I107" t="inlineStr"/>
    </row>
    <row r="108">
      <c r="A108" t="inlineStr">
        <is>
          <t>c107</t>
        </is>
      </c>
      <c r="B108" t="inlineStr">
        <is>
          <t>MID</t>
        </is>
      </c>
      <c r="C108" s="2" t="inlineStr">
        <is>
          <t>=MID([a],2,3)</t>
        </is>
      </c>
      <c r="D108" s="3" t="inlineStr">
        <is>
          <t>Nguyễn</t>
        </is>
      </c>
      <c r="G108">
        <f>MID(D108,2,3)</f>
        <v/>
      </c>
      <c r="H108">
        <f>IF(ISERROR(G108),ERROR.TYPE(G108),"")</f>
        <v/>
      </c>
      <c r="I108" t="inlineStr"/>
    </row>
    <row r="109">
      <c r="A109" t="inlineStr">
        <is>
          <t>c108</t>
        </is>
      </c>
      <c r="B109" t="inlineStr">
        <is>
          <t>MID</t>
        </is>
      </c>
      <c r="C109" s="2" t="inlineStr">
        <is>
          <t>=MID([a],5,2)</t>
        </is>
      </c>
      <c r="D109" s="3" t="inlineStr">
        <is>
          <t>abc</t>
        </is>
      </c>
      <c r="G109">
        <f>MID(D109,5,2)</f>
        <v/>
      </c>
      <c r="H109">
        <f>IF(ISERROR(G109),ERROR.TYPE(G109),"")</f>
        <v/>
      </c>
      <c r="I109" t="inlineStr">
        <is>
          <t>Engine: chuỗi rỗng là ô trống.</t>
        </is>
      </c>
    </row>
    <row r="110">
      <c r="A110" t="inlineStr">
        <is>
          <t>c109</t>
        </is>
      </c>
      <c r="B110" t="inlineStr">
        <is>
          <t>MID</t>
        </is>
      </c>
      <c r="C110" s="2" t="inlineStr">
        <is>
          <t>=MID([a],0,1)</t>
        </is>
      </c>
      <c r="D110" s="3" t="inlineStr">
        <is>
          <t>abc</t>
        </is>
      </c>
      <c r="G110">
        <f>MID(D110,0,1)</f>
        <v/>
      </c>
      <c r="H110">
        <f>IF(ISERROR(G110),ERROR.TYPE(G110),"")</f>
        <v/>
      </c>
      <c r="I110" t="inlineStr"/>
    </row>
    <row r="111">
      <c r="A111" t="inlineStr">
        <is>
          <t>c110</t>
        </is>
      </c>
      <c r="B111" t="inlineStr">
        <is>
          <t>LEN</t>
        </is>
      </c>
      <c r="C111" s="2" t="inlineStr">
        <is>
          <t>=LEN([a])</t>
        </is>
      </c>
      <c r="D111" s="3" t="inlineStr">
        <is>
          <t>Nguyễn</t>
        </is>
      </c>
      <c r="G111">
        <f>LEN(D111)</f>
        <v/>
      </c>
      <c r="H111">
        <f>IF(ISERROR(G111),ERROR.TYPE(G111),"")</f>
        <v/>
      </c>
      <c r="I111" t="inlineStr"/>
    </row>
    <row r="112">
      <c r="A112" t="inlineStr">
        <is>
          <t>c111</t>
        </is>
      </c>
      <c r="B112" t="inlineStr">
        <is>
          <t>LEN</t>
        </is>
      </c>
      <c r="C112" s="2" t="inlineStr">
        <is>
          <t>=LEN([a])</t>
        </is>
      </c>
      <c r="G112">
        <f>LEN(D112)</f>
        <v/>
      </c>
      <c r="H112">
        <f>IF(ISERROR(G112),ERROR.TYPE(G112),"")</f>
        <v/>
      </c>
      <c r="I112" t="inlineStr"/>
    </row>
    <row r="113">
      <c r="A113" t="inlineStr">
        <is>
          <t>c112</t>
        </is>
      </c>
      <c r="B113" t="inlineStr">
        <is>
          <t>LEN</t>
        </is>
      </c>
      <c r="C113" s="2" t="inlineStr">
        <is>
          <t>=LEN([a])</t>
        </is>
      </c>
      <c r="D113" t="n">
        <v>12.5</v>
      </c>
      <c r="G113">
        <f>LEN(D113)</f>
        <v/>
      </c>
      <c r="H113">
        <f>IF(ISERROR(G113),ERROR.TYPE(G113),"")</f>
        <v/>
      </c>
      <c r="I113" t="inlineStr"/>
    </row>
    <row r="114">
      <c r="A114" t="inlineStr">
        <is>
          <t>c113</t>
        </is>
      </c>
      <c r="B114" t="inlineStr">
        <is>
          <t>TRIM</t>
        </is>
      </c>
      <c r="C114" s="2" t="inlineStr">
        <is>
          <t>=TRIM([a])</t>
        </is>
      </c>
      <c r="D114" s="3" t="inlineStr">
        <is>
          <t xml:space="preserve">  Trần   Văn  Bình  </t>
        </is>
      </c>
      <c r="G114">
        <f>TRIM(D114)</f>
        <v/>
      </c>
      <c r="H114">
        <f>IF(ISERROR(G114),ERROR.TYPE(G114),"")</f>
        <v/>
      </c>
      <c r="I114" t="inlineStr"/>
    </row>
    <row r="115">
      <c r="A115" t="inlineStr">
        <is>
          <t>c114</t>
        </is>
      </c>
      <c r="B115" t="inlineStr">
        <is>
          <t>TRIM</t>
        </is>
      </c>
      <c r="C115" s="2" t="inlineStr">
        <is>
          <t>=TRIM([a])</t>
        </is>
      </c>
      <c r="D115" s="3" t="inlineStr">
        <is>
          <t>abc</t>
        </is>
      </c>
      <c r="G115">
        <f>TRIM(D115)</f>
        <v/>
      </c>
      <c r="H115">
        <f>IF(ISERROR(G115),ERROR.TYPE(G115),"")</f>
        <v/>
      </c>
      <c r="I115" t="inlineStr"/>
    </row>
    <row r="116">
      <c r="A116" t="inlineStr">
        <is>
          <t>c115</t>
        </is>
      </c>
      <c r="B116" t="inlineStr">
        <is>
          <t>TRIM</t>
        </is>
      </c>
      <c r="C116" s="2" t="inlineStr">
        <is>
          <t>=TRIM([a])&amp;"|"</t>
        </is>
      </c>
      <c r="G116">
        <f>TRIM(D116)&amp;"|"</f>
        <v/>
      </c>
      <c r="H116">
        <f>IF(ISERROR(G116),ERROR.TYPE(G116),"")</f>
        <v/>
      </c>
      <c r="I116" t="inlineStr"/>
    </row>
    <row r="117">
      <c r="A117" t="inlineStr">
        <is>
          <t>c116</t>
        </is>
      </c>
      <c r="B117" t="inlineStr">
        <is>
          <t>UPPER</t>
        </is>
      </c>
      <c r="C117" s="2" t="inlineStr">
        <is>
          <t>=UPPER([a])</t>
        </is>
      </c>
      <c r="D117" s="3" t="inlineStr">
        <is>
          <t>nguyễn văn đức</t>
        </is>
      </c>
      <c r="G117">
        <f>UPPER(D117)</f>
        <v/>
      </c>
      <c r="H117">
        <f>IF(ISERROR(G117),ERROR.TYPE(G117),"")</f>
        <v/>
      </c>
      <c r="I117" t="inlineStr"/>
    </row>
    <row r="118">
      <c r="A118" t="inlineStr">
        <is>
          <t>c117</t>
        </is>
      </c>
      <c r="B118" t="inlineStr">
        <is>
          <t>UPPER</t>
        </is>
      </c>
      <c r="C118" s="2" t="inlineStr">
        <is>
          <t>=UPPER([a])</t>
        </is>
      </c>
      <c r="D118" t="n">
        <v>1.5</v>
      </c>
      <c r="G118">
        <f>UPPER(D118)</f>
        <v/>
      </c>
      <c r="H118">
        <f>IF(ISERROR(G118),ERROR.TYPE(G118),"")</f>
        <v/>
      </c>
      <c r="I118" t="inlineStr"/>
    </row>
    <row r="119">
      <c r="A119" t="inlineStr">
        <is>
          <t>c118</t>
        </is>
      </c>
      <c r="B119" t="inlineStr">
        <is>
          <t>UPPER</t>
        </is>
      </c>
      <c r="C119" s="2" t="inlineStr">
        <is>
          <t>=UPPER([a])&amp;"!"</t>
        </is>
      </c>
      <c r="G119">
        <f>UPPER(D119)&amp;"!"</f>
        <v/>
      </c>
      <c r="H119">
        <f>IF(ISERROR(G119),ERROR.TYPE(G119),"")</f>
        <v/>
      </c>
      <c r="I119" t="inlineStr"/>
    </row>
    <row r="120">
      <c r="A120" t="inlineStr">
        <is>
          <t>c119</t>
        </is>
      </c>
      <c r="B120" t="inlineStr">
        <is>
          <t>LOWER</t>
        </is>
      </c>
      <c r="C120" s="2" t="inlineStr">
        <is>
          <t>=LOWER([a])</t>
        </is>
      </c>
      <c r="D120" s="3" t="inlineStr">
        <is>
          <t>ĐẠI HỌC</t>
        </is>
      </c>
      <c r="G120">
        <f>LOWER(D120)</f>
        <v/>
      </c>
      <c r="H120">
        <f>IF(ISERROR(G120),ERROR.TYPE(G120),"")</f>
        <v/>
      </c>
      <c r="I120" t="inlineStr"/>
    </row>
    <row r="121">
      <c r="A121" t="inlineStr">
        <is>
          <t>c120</t>
        </is>
      </c>
      <c r="B121" t="inlineStr">
        <is>
          <t>LOWER</t>
        </is>
      </c>
      <c r="C121" s="2" t="inlineStr">
        <is>
          <t>=LOWER([a])</t>
        </is>
      </c>
      <c r="D121" s="3" t="inlineStr">
        <is>
          <t>AbC</t>
        </is>
      </c>
      <c r="G121">
        <f>LOWER(D121)</f>
        <v/>
      </c>
      <c r="H121">
        <f>IF(ISERROR(G121),ERROR.TYPE(G121),"")</f>
        <v/>
      </c>
      <c r="I121" t="inlineStr"/>
    </row>
    <row r="122">
      <c r="A122" t="inlineStr">
        <is>
          <t>c121</t>
        </is>
      </c>
      <c r="B122" t="inlineStr">
        <is>
          <t>LOWER</t>
        </is>
      </c>
      <c r="C122" s="2" t="inlineStr">
        <is>
          <t>=LOWER([a])</t>
        </is>
      </c>
      <c r="D122" t="b">
        <v>1</v>
      </c>
      <c r="G122">
        <f>LOWER(D122)</f>
        <v/>
      </c>
      <c r="H122">
        <f>IF(ISERROR(G122),ERROR.TYPE(G122),"")</f>
        <v/>
      </c>
      <c r="I122" t="inlineStr"/>
    </row>
    <row r="123">
      <c r="A123" t="inlineStr">
        <is>
          <t>c122</t>
        </is>
      </c>
      <c r="B123" t="inlineStr">
        <is>
          <t>PROPER</t>
        </is>
      </c>
      <c r="C123" s="2" t="inlineStr">
        <is>
          <t>=PROPER([a])</t>
        </is>
      </c>
      <c r="D123" s="3" t="inlineStr">
        <is>
          <t>nguyễn văn a</t>
        </is>
      </c>
      <c r="G123">
        <f>PROPER(D123)</f>
        <v/>
      </c>
      <c r="H123">
        <f>IF(ISERROR(G123),ERROR.TYPE(G123),"")</f>
        <v/>
      </c>
      <c r="I123" t="inlineStr"/>
    </row>
    <row r="124">
      <c r="A124" t="inlineStr">
        <is>
          <t>c123</t>
        </is>
      </c>
      <c r="B124" t="inlineStr">
        <is>
          <t>PROPER</t>
        </is>
      </c>
      <c r="C124" s="2" t="inlineStr">
        <is>
          <t>=PROPER([a])</t>
        </is>
      </c>
      <c r="D124" s="3" t="inlineStr">
        <is>
          <t>o'neil-SMITH</t>
        </is>
      </c>
      <c r="G124">
        <f>PROPER(D124)</f>
        <v/>
      </c>
      <c r="H124">
        <f>IF(ISERROR(G124),ERROR.TYPE(G124),"")</f>
        <v/>
      </c>
      <c r="I124" t="inlineStr"/>
    </row>
    <row r="125">
      <c r="A125" t="inlineStr">
        <is>
          <t>c124</t>
        </is>
      </c>
      <c r="B125" t="inlineStr">
        <is>
          <t>PROPER</t>
        </is>
      </c>
      <c r="C125" s="2" t="inlineStr">
        <is>
          <t>=PROPER([a])</t>
        </is>
      </c>
      <c r="D125" s="3" t="inlineStr">
        <is>
          <t>abc123def</t>
        </is>
      </c>
      <c r="G125">
        <f>PROPER(D125)</f>
        <v/>
      </c>
      <c r="H125">
        <f>IF(ISERROR(G125),ERROR.TYPE(G125),"")</f>
        <v/>
      </c>
      <c r="I125" t="inlineStr"/>
    </row>
    <row r="126">
      <c r="A126" t="inlineStr">
        <is>
          <t>c125</t>
        </is>
      </c>
      <c r="B126" t="inlineStr">
        <is>
          <t>CONCAT</t>
        </is>
      </c>
      <c r="C126" s="2" t="inlineStr">
        <is>
          <t>=CONCAT("a",1,TRUE)</t>
        </is>
      </c>
      <c r="G126">
        <f>_xlfn.CONCAT("a",1,TRUE)</f>
        <v/>
      </c>
      <c r="H126">
        <f>IF(ISERROR(G126),ERROR.TYPE(G126),"")</f>
        <v/>
      </c>
      <c r="I126" t="inlineStr"/>
    </row>
    <row r="127">
      <c r="A127" t="inlineStr">
        <is>
          <t>c126</t>
        </is>
      </c>
      <c r="B127" t="inlineStr">
        <is>
          <t>CONCAT</t>
        </is>
      </c>
      <c r="C127" s="2" t="inlineStr">
        <is>
          <t>=CONCAT([a],"x")</t>
        </is>
      </c>
      <c r="G127">
        <f>_xlfn.CONCAT(D127,"x")</f>
        <v/>
      </c>
      <c r="H127">
        <f>IF(ISERROR(G127),ERROR.TYPE(G127),"")</f>
        <v/>
      </c>
      <c r="I127" t="inlineStr"/>
    </row>
    <row r="128">
      <c r="A128" t="inlineStr">
        <is>
          <t>c127</t>
        </is>
      </c>
      <c r="B128" t="inlineStr">
        <is>
          <t>CONCAT</t>
        </is>
      </c>
      <c r="C128" s="2" t="inlineStr">
        <is>
          <t>=CONCAT([a]," ",[b])</t>
        </is>
      </c>
      <c r="D128" s="3" t="inlineStr">
        <is>
          <t>Nguyễn</t>
        </is>
      </c>
      <c r="E128" s="3" t="inlineStr">
        <is>
          <t>An</t>
        </is>
      </c>
      <c r="G128">
        <f>_xlfn.CONCAT(D128," ",E128)</f>
        <v/>
      </c>
      <c r="H128">
        <f>IF(ISERROR(G128),ERROR.TYPE(G128),"")</f>
        <v/>
      </c>
      <c r="I128" t="inlineStr"/>
    </row>
    <row r="129">
      <c r="A129" t="inlineStr">
        <is>
          <t>c128</t>
        </is>
      </c>
      <c r="B129" t="inlineStr">
        <is>
          <t>TEXTJOIN</t>
        </is>
      </c>
      <c r="C129" s="2" t="inlineStr">
        <is>
          <t>=TEXTJOIN(", ",TRUE,"a","","b")</t>
        </is>
      </c>
      <c r="G129">
        <f>_xlfn.TEXTJOIN(", ",TRUE,"a","","b")</f>
        <v/>
      </c>
      <c r="H129">
        <f>IF(ISERROR(G129),ERROR.TYPE(G129),"")</f>
        <v/>
      </c>
      <c r="I129" t="inlineStr"/>
    </row>
    <row r="130">
      <c r="A130" t="inlineStr">
        <is>
          <t>c129</t>
        </is>
      </c>
      <c r="B130" t="inlineStr">
        <is>
          <t>TEXTJOIN</t>
        </is>
      </c>
      <c r="C130" s="2" t="inlineStr">
        <is>
          <t>=TEXTJOIN(", ",FALSE,"a","","b")</t>
        </is>
      </c>
      <c r="G130">
        <f>_xlfn.TEXTJOIN(", ",FALSE,"a","","b")</f>
        <v/>
      </c>
      <c r="H130">
        <f>IF(ISERROR(G130),ERROR.TYPE(G130),"")</f>
        <v/>
      </c>
      <c r="I130" t="inlineStr"/>
    </row>
    <row r="131">
      <c r="A131" t="inlineStr">
        <is>
          <t>c130</t>
        </is>
      </c>
      <c r="B131" t="inlineStr">
        <is>
          <t>TEXTJOIN</t>
        </is>
      </c>
      <c r="C131" s="2" t="inlineStr">
        <is>
          <t>=TEXTJOIN("-",TRUE,[a],[b])</t>
        </is>
      </c>
      <c r="E131" s="3" t="inlineStr">
        <is>
          <t>x</t>
        </is>
      </c>
      <c r="G131">
        <f>_xlfn.TEXTJOIN("-",TRUE,D131,E131)</f>
        <v/>
      </c>
      <c r="H131">
        <f>IF(ISERROR(G131),ERROR.TYPE(G131),"")</f>
        <v/>
      </c>
      <c r="I131" t="inlineStr"/>
    </row>
    <row r="132">
      <c r="A132" t="inlineStr">
        <is>
          <t>c131</t>
        </is>
      </c>
      <c r="B132" t="inlineStr">
        <is>
          <t>SUBSTITUTE</t>
        </is>
      </c>
      <c r="C132" s="2" t="inlineStr">
        <is>
          <t>=SUBSTITUTE([a],"-","+")</t>
        </is>
      </c>
      <c r="D132" s="3" t="inlineStr">
        <is>
          <t>a-b-c</t>
        </is>
      </c>
      <c r="G132">
        <f>SUBSTITUTE(D132,"-","+")</f>
        <v/>
      </c>
      <c r="H132">
        <f>IF(ISERROR(G132),ERROR.TYPE(G132),"")</f>
        <v/>
      </c>
      <c r="I132" t="inlineStr"/>
    </row>
    <row r="133">
      <c r="A133" t="inlineStr">
        <is>
          <t>c132</t>
        </is>
      </c>
      <c r="B133" t="inlineStr">
        <is>
          <t>SUBSTITUTE</t>
        </is>
      </c>
      <c r="C133" s="2" t="inlineStr">
        <is>
          <t>=SUBSTITUTE([a],"-","+",2)</t>
        </is>
      </c>
      <c r="D133" s="3" t="inlineStr">
        <is>
          <t>a-b-c</t>
        </is>
      </c>
      <c r="G133">
        <f>SUBSTITUTE(D133,"-","+",2)</f>
        <v/>
      </c>
      <c r="H133">
        <f>IF(ISERROR(G133),ERROR.TYPE(G133),"")</f>
        <v/>
      </c>
      <c r="I133" t="inlineStr"/>
    </row>
    <row r="134">
      <c r="A134" t="inlineStr">
        <is>
          <t>c133</t>
        </is>
      </c>
      <c r="B134" t="inlineStr">
        <is>
          <t>SUBSTITUTE</t>
        </is>
      </c>
      <c r="C134" s="2" t="inlineStr">
        <is>
          <t>=SUBSTITUTE([a],"","x")</t>
        </is>
      </c>
      <c r="D134" s="3" t="inlineStr">
        <is>
          <t>abc</t>
        </is>
      </c>
      <c r="G134">
        <f>SUBSTITUTE(D134,"","x")</f>
        <v/>
      </c>
      <c r="H134">
        <f>IF(ISERROR(G134),ERROR.TYPE(G134),"")</f>
        <v/>
      </c>
      <c r="I134" t="inlineStr"/>
    </row>
    <row r="135">
      <c r="A135" t="inlineStr">
        <is>
          <t>c134</t>
        </is>
      </c>
      <c r="B135" t="inlineStr">
        <is>
          <t>SUBSTITUTE</t>
        </is>
      </c>
      <c r="C135" s="2" t="inlineStr">
        <is>
          <t>=SUBSTITUTE([a],"a","")</t>
        </is>
      </c>
      <c r="D135" s="3" t="inlineStr">
        <is>
          <t>Aaa</t>
        </is>
      </c>
      <c r="G135">
        <f>SUBSTITUTE(D135,"a","")</f>
        <v/>
      </c>
      <c r="H135">
        <f>IF(ISERROR(G135),ERROR.TYPE(G135),"")</f>
        <v/>
      </c>
      <c r="I135" t="inlineStr"/>
    </row>
    <row r="136">
      <c r="A136" t="inlineStr">
        <is>
          <t>c135</t>
        </is>
      </c>
      <c r="B136" t="inlineStr">
        <is>
          <t>FIND</t>
        </is>
      </c>
      <c r="C136" s="2" t="inlineStr">
        <is>
          <t>=FIND("a","ABa")</t>
        </is>
      </c>
      <c r="G136">
        <f>FIND("a","ABa")</f>
        <v/>
      </c>
      <c r="H136">
        <f>IF(ISERROR(G136),ERROR.TYPE(G136),"")</f>
        <v/>
      </c>
      <c r="I136" t="inlineStr"/>
    </row>
    <row r="137">
      <c r="A137" t="inlineStr">
        <is>
          <t>c136</t>
        </is>
      </c>
      <c r="B137" t="inlineStr">
        <is>
          <t>FIND</t>
        </is>
      </c>
      <c r="C137" s="2" t="inlineStr">
        <is>
          <t>=FIND("z",[a])</t>
        </is>
      </c>
      <c r="D137" s="3" t="inlineStr">
        <is>
          <t>abc</t>
        </is>
      </c>
      <c r="G137">
        <f>FIND("z",D137)</f>
        <v/>
      </c>
      <c r="H137">
        <f>IF(ISERROR(G137),ERROR.TYPE(G137),"")</f>
        <v/>
      </c>
      <c r="I137" t="inlineStr"/>
    </row>
    <row r="138">
      <c r="A138" t="inlineStr">
        <is>
          <t>c137</t>
        </is>
      </c>
      <c r="B138" t="inlineStr">
        <is>
          <t>FIND</t>
        </is>
      </c>
      <c r="C138" s="2" t="inlineStr">
        <is>
          <t>=FIND("b",[a],3)</t>
        </is>
      </c>
      <c r="D138" s="3" t="inlineStr">
        <is>
          <t>abcb</t>
        </is>
      </c>
      <c r="G138">
        <f>FIND("b",D138,3)</f>
        <v/>
      </c>
      <c r="H138">
        <f>IF(ISERROR(G138),ERROR.TYPE(G138),"")</f>
        <v/>
      </c>
      <c r="I138" t="inlineStr"/>
    </row>
    <row r="139">
      <c r="A139" t="inlineStr">
        <is>
          <t>c138</t>
        </is>
      </c>
      <c r="B139" t="inlineStr">
        <is>
          <t>FIND</t>
        </is>
      </c>
      <c r="C139" s="2" t="inlineStr">
        <is>
          <t>=FIND("ễ",[a])</t>
        </is>
      </c>
      <c r="D139" s="3" t="inlineStr">
        <is>
          <t>Nguyễn</t>
        </is>
      </c>
      <c r="G139">
        <f>FIND("ễ",D139)</f>
        <v/>
      </c>
      <c r="H139">
        <f>IF(ISERROR(G139),ERROR.TYPE(G139),"")</f>
        <v/>
      </c>
      <c r="I139" t="inlineStr"/>
    </row>
    <row r="140">
      <c r="A140" t="inlineStr">
        <is>
          <t>c139</t>
        </is>
      </c>
      <c r="B140" t="inlineStr">
        <is>
          <t>SEARCH</t>
        </is>
      </c>
      <c r="C140" s="2" t="inlineStr">
        <is>
          <t>=SEARCH("b*","aBc")</t>
        </is>
      </c>
      <c r="G140">
        <f>SEARCH("b*","aBc")</f>
        <v/>
      </c>
      <c r="H140">
        <f>IF(ISERROR(G140),ERROR.TYPE(G140),"")</f>
        <v/>
      </c>
      <c r="I140" t="inlineStr"/>
    </row>
    <row r="141">
      <c r="A141" t="inlineStr">
        <is>
          <t>c140</t>
        </is>
      </c>
      <c r="B141" t="inlineStr">
        <is>
          <t>SEARCH</t>
        </is>
      </c>
      <c r="C141" s="2" t="inlineStr">
        <is>
          <t>=SEARCH("?c",[a])</t>
        </is>
      </c>
      <c r="D141" s="3" t="inlineStr">
        <is>
          <t>abc</t>
        </is>
      </c>
      <c r="G141">
        <f>SEARCH("?c",D141)</f>
        <v/>
      </c>
      <c r="H141">
        <f>IF(ISERROR(G141),ERROR.TYPE(G141),"")</f>
        <v/>
      </c>
      <c r="I141" t="inlineStr"/>
    </row>
    <row r="142">
      <c r="A142" t="inlineStr">
        <is>
          <t>c141</t>
        </is>
      </c>
      <c r="B142" t="inlineStr">
        <is>
          <t>SEARCH</t>
        </is>
      </c>
      <c r="C142" s="2" t="inlineStr">
        <is>
          <t>=SEARCH("~*",[a])</t>
        </is>
      </c>
      <c r="D142" s="3" t="inlineStr">
        <is>
          <t>a*b</t>
        </is>
      </c>
      <c r="G142">
        <f>SEARCH("~*",D142)</f>
        <v/>
      </c>
      <c r="H142">
        <f>IF(ISERROR(G142),ERROR.TYPE(G142),"")</f>
        <v/>
      </c>
      <c r="I142" t="inlineStr"/>
    </row>
    <row r="143">
      <c r="A143" t="inlineStr">
        <is>
          <t>c142</t>
        </is>
      </c>
      <c r="B143" t="inlineStr">
        <is>
          <t>SEARCH</t>
        </is>
      </c>
      <c r="C143" s="2" t="inlineStr">
        <is>
          <t>=SEARCH("x",[a])</t>
        </is>
      </c>
      <c r="D143" s="3" t="inlineStr">
        <is>
          <t>abc</t>
        </is>
      </c>
      <c r="G143">
        <f>SEARCH("x",D143)</f>
        <v/>
      </c>
      <c r="H143">
        <f>IF(ISERROR(G143),ERROR.TYPE(G143),"")</f>
        <v/>
      </c>
      <c r="I143" t="inlineStr"/>
    </row>
    <row r="144">
      <c r="A144" t="inlineStr">
        <is>
          <t>c143</t>
        </is>
      </c>
      <c r="B144" t="inlineStr">
        <is>
          <t>SEARCH</t>
        </is>
      </c>
      <c r="C144" s="2" t="inlineStr">
        <is>
          <t>=SEARCH("VĂN",[a])</t>
        </is>
      </c>
      <c r="D144" s="3" t="inlineStr">
        <is>
          <t>Nguyễn văn A</t>
        </is>
      </c>
      <c r="G144">
        <f>SEARCH("VĂN",D144)</f>
        <v/>
      </c>
      <c r="H144">
        <f>IF(ISERROR(G144),ERROR.TYPE(G144),"")</f>
        <v/>
      </c>
      <c r="I144" t="inlineStr"/>
    </row>
    <row r="145">
      <c r="A145" t="inlineStr">
        <is>
          <t>c144</t>
        </is>
      </c>
      <c r="B145" t="inlineStr">
        <is>
          <t>VALUE</t>
        </is>
      </c>
      <c r="C145" s="2" t="inlineStr">
        <is>
          <t>=VALUE("1.5")</t>
        </is>
      </c>
      <c r="G145">
        <f>VALUE("1.5")</f>
        <v/>
      </c>
      <c r="H145">
        <f>IF(ISERROR(G145),ERROR.TYPE(G145),"")</f>
        <v/>
      </c>
      <c r="I145" t="inlineStr"/>
    </row>
    <row r="146">
      <c r="A146" t="inlineStr">
        <is>
          <t>c145</t>
        </is>
      </c>
      <c r="B146" t="inlineStr">
        <is>
          <t>VALUE</t>
        </is>
      </c>
      <c r="C146" s="2" t="inlineStr">
        <is>
          <t>=VALUE([a])</t>
        </is>
      </c>
      <c r="D146" s="3" t="inlineStr">
        <is>
          <t xml:space="preserve"> -12 </t>
        </is>
      </c>
      <c r="G146">
        <f>VALUE(D146)</f>
        <v/>
      </c>
      <c r="H146">
        <f>IF(ISERROR(G146),ERROR.TYPE(G146),"")</f>
        <v/>
      </c>
      <c r="I146" t="inlineStr"/>
    </row>
    <row r="147">
      <c r="A147" t="inlineStr">
        <is>
          <t>c146</t>
        </is>
      </c>
      <c r="B147" t="inlineStr">
        <is>
          <t>VALUE</t>
        </is>
      </c>
      <c r="C147" s="2" t="inlineStr">
        <is>
          <t>=VALUE([a])</t>
        </is>
      </c>
      <c r="D147" s="3" t="inlineStr">
        <is>
          <t>abc</t>
        </is>
      </c>
      <c r="G147">
        <f>VALUE(D147)</f>
        <v/>
      </c>
      <c r="H147">
        <f>IF(ISERROR(G147),ERROR.TYPE(G147),"")</f>
        <v/>
      </c>
      <c r="I147" t="inlineStr"/>
    </row>
    <row r="148">
      <c r="A148" t="inlineStr">
        <is>
          <t>c147</t>
        </is>
      </c>
      <c r="B148" t="inlineStr">
        <is>
          <t>VALUE</t>
        </is>
      </c>
      <c r="C148" s="2" t="inlineStr">
        <is>
          <t>=VALUE([a])</t>
        </is>
      </c>
      <c r="G148">
        <f>VALUE(D148)</f>
        <v/>
      </c>
      <c r="H148">
        <f>IF(ISERROR(G148),ERROR.TYPE(G148),"")</f>
        <v/>
      </c>
      <c r="I148" t="inlineStr"/>
    </row>
    <row r="149">
      <c r="A149" t="inlineStr">
        <is>
          <t>c148</t>
        </is>
      </c>
      <c r="B149" t="inlineStr">
        <is>
          <t>DATE</t>
        </is>
      </c>
      <c r="C149" s="2" t="inlineStr">
        <is>
          <t>=DATE(2026,13,1)</t>
        </is>
      </c>
      <c r="G149">
        <f>DATE(2026,13,1)</f>
        <v/>
      </c>
      <c r="H149">
        <f>IF(ISERROR(G149),ERROR.TYPE(G149),"")</f>
        <v/>
      </c>
      <c r="I149" t="inlineStr"/>
    </row>
    <row r="150">
      <c r="A150" t="inlineStr">
        <is>
          <t>c149</t>
        </is>
      </c>
      <c r="B150" t="inlineStr">
        <is>
          <t>DATE</t>
        </is>
      </c>
      <c r="C150" s="2" t="inlineStr">
        <is>
          <t>=DATE(2024,2,29)</t>
        </is>
      </c>
      <c r="G150">
        <f>DATE(2024,2,29)</f>
        <v/>
      </c>
      <c r="H150">
        <f>IF(ISERROR(G150),ERROR.TYPE(G150),"")</f>
        <v/>
      </c>
      <c r="I150" t="inlineStr"/>
    </row>
    <row r="151">
      <c r="A151" t="inlineStr">
        <is>
          <t>c150</t>
        </is>
      </c>
      <c r="B151" t="inlineStr">
        <is>
          <t>DATE</t>
        </is>
      </c>
      <c r="C151" s="2" t="inlineStr">
        <is>
          <t>=DATE(2026,3,0)</t>
        </is>
      </c>
      <c r="G151">
        <f>DATE(2026,3,0)</f>
        <v/>
      </c>
      <c r="H151">
        <f>IF(ISERROR(G151),ERROR.TYPE(G151),"")</f>
        <v/>
      </c>
      <c r="I151" t="inlineStr"/>
    </row>
    <row r="152">
      <c r="A152" t="inlineStr">
        <is>
          <t>c151</t>
        </is>
      </c>
      <c r="B152" t="inlineStr">
        <is>
          <t>DATE</t>
        </is>
      </c>
      <c r="C152" s="2" t="inlineStr">
        <is>
          <t>=DATE(2026,1,-1)</t>
        </is>
      </c>
      <c r="G152">
        <f>DATE(2026,1,-1)</f>
        <v/>
      </c>
      <c r="H152">
        <f>IF(ISERROR(G152),ERROR.TYPE(G152),"")</f>
        <v/>
      </c>
      <c r="I152" t="inlineStr"/>
    </row>
    <row r="153">
      <c r="A153" t="inlineStr">
        <is>
          <t>c152</t>
        </is>
      </c>
      <c r="B153" t="inlineStr">
        <is>
          <t>DATE</t>
        </is>
      </c>
      <c r="C153" s="2" t="inlineStr">
        <is>
          <t>=DATE(10000,1,1)</t>
        </is>
      </c>
      <c r="G153">
        <f>DATE(10000,1,1)</f>
        <v/>
      </c>
      <c r="H153">
        <f>IF(ISERROR(G153),ERROR.TYPE(G153),"")</f>
        <v/>
      </c>
      <c r="I153" t="inlineStr"/>
    </row>
    <row r="154">
      <c r="A154" t="inlineStr">
        <is>
          <t>c153</t>
        </is>
      </c>
      <c r="B154" t="inlineStr">
        <is>
          <t>YEAR</t>
        </is>
      </c>
      <c r="C154" s="2" t="inlineStr">
        <is>
          <t>=YEAR([a])</t>
        </is>
      </c>
      <c r="D154" s="4" t="n">
        <v>45351</v>
      </c>
      <c r="G154">
        <f>YEAR(D154)</f>
        <v/>
      </c>
      <c r="H154">
        <f>IF(ISERROR(G154),ERROR.TYPE(G154),"")</f>
        <v/>
      </c>
      <c r="I154" t="inlineStr"/>
    </row>
    <row r="155">
      <c r="A155" t="inlineStr">
        <is>
          <t>c154</t>
        </is>
      </c>
      <c r="B155" t="inlineStr">
        <is>
          <t>YEAR</t>
        </is>
      </c>
      <c r="C155" s="2" t="inlineStr">
        <is>
          <t>=YEAR([a])</t>
        </is>
      </c>
      <c r="D155" s="4" t="n">
        <v>46022</v>
      </c>
      <c r="G155">
        <f>YEAR(D155)</f>
        <v/>
      </c>
      <c r="H155">
        <f>IF(ISERROR(G155),ERROR.TYPE(G155),"")</f>
        <v/>
      </c>
      <c r="I155" t="inlineStr"/>
    </row>
    <row r="156">
      <c r="A156" t="inlineStr">
        <is>
          <t>c155</t>
        </is>
      </c>
      <c r="B156" t="inlineStr">
        <is>
          <t>YEAR</t>
        </is>
      </c>
      <c r="C156" s="2" t="inlineStr">
        <is>
          <t>=YEAR([a])</t>
        </is>
      </c>
      <c r="G156">
        <f>YEAR(D156)</f>
        <v/>
      </c>
      <c r="H156">
        <f>IF(ISERROR(G156),ERROR.TYPE(G156),"")</f>
        <v/>
      </c>
      <c r="I156" t="inlineStr">
        <is>
          <t>YEAR(ô trống)=1900</t>
        </is>
      </c>
    </row>
    <row r="157">
      <c r="A157" t="inlineStr">
        <is>
          <t>c156</t>
        </is>
      </c>
      <c r="B157" t="inlineStr">
        <is>
          <t>YEAR</t>
        </is>
      </c>
      <c r="C157" s="2" t="inlineStr">
        <is>
          <t>=YEAR([a])</t>
        </is>
      </c>
      <c r="D157" s="3" t="inlineStr">
        <is>
          <t>abc</t>
        </is>
      </c>
      <c r="G157">
        <f>YEAR(D157)</f>
        <v/>
      </c>
      <c r="H157">
        <f>IF(ISERROR(G157),ERROR.TYPE(G157),"")</f>
        <v/>
      </c>
      <c r="I157" t="inlineStr"/>
    </row>
    <row r="158">
      <c r="A158" t="inlineStr">
        <is>
          <t>c157</t>
        </is>
      </c>
      <c r="B158" t="inlineStr">
        <is>
          <t>MONTH</t>
        </is>
      </c>
      <c r="C158" s="2" t="inlineStr">
        <is>
          <t>=MONTH([a])</t>
        </is>
      </c>
      <c r="D158" s="4" t="n">
        <v>45351</v>
      </c>
      <c r="G158">
        <f>MONTH(D158)</f>
        <v/>
      </c>
      <c r="H158">
        <f>IF(ISERROR(G158),ERROR.TYPE(G158),"")</f>
        <v/>
      </c>
      <c r="I158" t="inlineStr"/>
    </row>
    <row r="159">
      <c r="A159" t="inlineStr">
        <is>
          <t>c158</t>
        </is>
      </c>
      <c r="B159" t="inlineStr">
        <is>
          <t>MONTH</t>
        </is>
      </c>
      <c r="C159" s="2" t="inlineStr">
        <is>
          <t>=MONTH([a])</t>
        </is>
      </c>
      <c r="D159" s="4" t="n">
        <v>46022</v>
      </c>
      <c r="G159">
        <f>MONTH(D159)</f>
        <v/>
      </c>
      <c r="H159">
        <f>IF(ISERROR(G159),ERROR.TYPE(G159),"")</f>
        <v/>
      </c>
      <c r="I159" t="inlineStr"/>
    </row>
    <row r="160">
      <c r="A160" t="inlineStr">
        <is>
          <t>c159</t>
        </is>
      </c>
      <c r="B160" t="inlineStr">
        <is>
          <t>MONTH</t>
        </is>
      </c>
      <c r="C160" s="2" t="inlineStr">
        <is>
          <t>=MONTH(-1)</t>
        </is>
      </c>
      <c r="G160">
        <f>MONTH(-1)</f>
        <v/>
      </c>
      <c r="H160">
        <f>IF(ISERROR(G160),ERROR.TYPE(G160),"")</f>
        <v/>
      </c>
      <c r="I160" t="inlineStr"/>
    </row>
    <row r="161">
      <c r="A161" t="inlineStr">
        <is>
          <t>c160</t>
        </is>
      </c>
      <c r="B161" t="inlineStr">
        <is>
          <t>DAY</t>
        </is>
      </c>
      <c r="C161" s="2" t="inlineStr">
        <is>
          <t>=DAY([a])</t>
        </is>
      </c>
      <c r="D161" s="4" t="n">
        <v>45351</v>
      </c>
      <c r="G161">
        <f>DAY(D161)</f>
        <v/>
      </c>
      <c r="H161">
        <f>IF(ISERROR(G161),ERROR.TYPE(G161),"")</f>
        <v/>
      </c>
      <c r="I161" t="inlineStr"/>
    </row>
    <row r="162">
      <c r="A162" t="inlineStr">
        <is>
          <t>c161</t>
        </is>
      </c>
      <c r="B162" t="inlineStr">
        <is>
          <t>DAY</t>
        </is>
      </c>
      <c r="C162" s="2" t="inlineStr">
        <is>
          <t>=DAY([a])</t>
        </is>
      </c>
      <c r="D162" s="4" t="n">
        <v>46022</v>
      </c>
      <c r="G162">
        <f>DAY(D162)</f>
        <v/>
      </c>
      <c r="H162">
        <f>IF(ISERROR(G162),ERROR.TYPE(G162),"")</f>
        <v/>
      </c>
      <c r="I162" t="inlineStr"/>
    </row>
    <row r="163">
      <c r="A163" t="inlineStr">
        <is>
          <t>c162</t>
        </is>
      </c>
      <c r="B163" t="inlineStr">
        <is>
          <t>DAY</t>
        </is>
      </c>
      <c r="C163" s="2" t="inlineStr">
        <is>
          <t>=DAY([a])</t>
        </is>
      </c>
      <c r="G163">
        <f>DAY(D163)</f>
        <v/>
      </c>
      <c r="H163">
        <f>IF(ISERROR(G163),ERROR.TYPE(G163),"")</f>
        <v/>
      </c>
      <c r="I163" t="inlineStr">
        <is>
          <t>DAY(ô trống)=0</t>
        </is>
      </c>
    </row>
    <row r="164">
      <c r="A164" t="inlineStr">
        <is>
          <t>c163</t>
        </is>
      </c>
      <c r="B164" t="inlineStr">
        <is>
          <t>EDATE</t>
        </is>
      </c>
      <c r="C164" s="2" t="inlineStr">
        <is>
          <t>=EDATE(DATE(2026,1,31),1)</t>
        </is>
      </c>
      <c r="G164">
        <f>EDATE(DATE(2026,1,31),1)</f>
        <v/>
      </c>
      <c r="H164">
        <f>IF(ISERROR(G164),ERROR.TYPE(G164),"")</f>
        <v/>
      </c>
      <c r="I164" t="inlineStr"/>
    </row>
    <row r="165">
      <c r="A165" t="inlineStr">
        <is>
          <t>c164</t>
        </is>
      </c>
      <c r="B165" t="inlineStr">
        <is>
          <t>EDATE</t>
        </is>
      </c>
      <c r="C165" s="2" t="inlineStr">
        <is>
          <t>=EDATE([a],12)</t>
        </is>
      </c>
      <c r="D165" s="4" t="n">
        <v>45351</v>
      </c>
      <c r="G165">
        <f>EDATE(D165,12)</f>
        <v/>
      </c>
      <c r="H165">
        <f>IF(ISERROR(G165),ERROR.TYPE(G165),"")</f>
        <v/>
      </c>
      <c r="I165" t="inlineStr"/>
    </row>
    <row r="166">
      <c r="A166" t="inlineStr">
        <is>
          <t>c165</t>
        </is>
      </c>
      <c r="B166" t="inlineStr">
        <is>
          <t>EDATE</t>
        </is>
      </c>
      <c r="C166" s="2" t="inlineStr">
        <is>
          <t>=EDATE([a],-1)</t>
        </is>
      </c>
      <c r="D166" s="4" t="n">
        <v>46112</v>
      </c>
      <c r="G166">
        <f>EDATE(D166,-1)</f>
        <v/>
      </c>
      <c r="H166">
        <f>IF(ISERROR(G166),ERROR.TYPE(G166),"")</f>
        <v/>
      </c>
      <c r="I166" t="inlineStr"/>
    </row>
    <row r="167">
      <c r="A167" t="inlineStr">
        <is>
          <t>c166</t>
        </is>
      </c>
      <c r="B167" t="inlineStr">
        <is>
          <t>EOMONTH</t>
        </is>
      </c>
      <c r="C167" s="2" t="inlineStr">
        <is>
          <t>=EOMONTH(DATE(2026,2,10),0)</t>
        </is>
      </c>
      <c r="G167">
        <f>EOMONTH(DATE(2026,2,10),0)</f>
        <v/>
      </c>
      <c r="H167">
        <f>IF(ISERROR(G167),ERROR.TYPE(G167),"")</f>
        <v/>
      </c>
      <c r="I167" t="inlineStr"/>
    </row>
    <row r="168">
      <c r="A168" t="inlineStr">
        <is>
          <t>c167</t>
        </is>
      </c>
      <c r="B168" t="inlineStr">
        <is>
          <t>EOMONTH</t>
        </is>
      </c>
      <c r="C168" s="2" t="inlineStr">
        <is>
          <t>=EOMONTH([a],0)</t>
        </is>
      </c>
      <c r="D168" s="4" t="n">
        <v>45323</v>
      </c>
      <c r="G168">
        <f>EOMONTH(D168,0)</f>
        <v/>
      </c>
      <c r="H168">
        <f>IF(ISERROR(G168),ERROR.TYPE(G168),"")</f>
        <v/>
      </c>
      <c r="I168" t="inlineStr"/>
    </row>
    <row r="169">
      <c r="A169" t="inlineStr">
        <is>
          <t>c168</t>
        </is>
      </c>
      <c r="B169" t="inlineStr">
        <is>
          <t>EOMONTH</t>
        </is>
      </c>
      <c r="C169" s="2" t="inlineStr">
        <is>
          <t>=EOMONTH([a],-2)</t>
        </is>
      </c>
      <c r="D169" s="4" t="n">
        <v>46037</v>
      </c>
      <c r="G169">
        <f>EOMONTH(D169,-2)</f>
        <v/>
      </c>
      <c r="H169">
        <f>IF(ISERROR(G169),ERROR.TYPE(G169),"")</f>
        <v/>
      </c>
      <c r="I169" t="inlineStr"/>
    </row>
    <row r="170">
      <c r="A170" t="inlineStr">
        <is>
          <t>c169</t>
        </is>
      </c>
      <c r="B170" t="inlineStr">
        <is>
          <t>DATEDIF</t>
        </is>
      </c>
      <c r="C170" s="2" t="inlineStr">
        <is>
          <t>=DATEDIF(DATE(2020,3,15),DATE(2026,3,14),"Y")</t>
        </is>
      </c>
      <c r="G170">
        <f>DATEDIF(DATE(2020,3,15),DATE(2026,3,14),"Y")</f>
        <v/>
      </c>
      <c r="H170">
        <f>IF(ISERROR(G170),ERROR.TYPE(G170),"")</f>
        <v/>
      </c>
      <c r="I170" t="inlineStr"/>
    </row>
    <row r="171">
      <c r="A171" t="inlineStr">
        <is>
          <t>c170</t>
        </is>
      </c>
      <c r="B171" t="inlineStr">
        <is>
          <t>DATEDIF</t>
        </is>
      </c>
      <c r="C171" s="2" t="inlineStr">
        <is>
          <t>=DATEDIF([a],[b],"M")</t>
        </is>
      </c>
      <c r="D171" s="4" t="n">
        <v>46053</v>
      </c>
      <c r="E171" s="4" t="n">
        <v>46081</v>
      </c>
      <c r="G171">
        <f>DATEDIF(D171,E171,"M")</f>
        <v/>
      </c>
      <c r="H171">
        <f>IF(ISERROR(G171),ERROR.TYPE(G171),"")</f>
        <v/>
      </c>
      <c r="I171" t="inlineStr"/>
    </row>
    <row r="172">
      <c r="A172" t="inlineStr">
        <is>
          <t>c171</t>
        </is>
      </c>
      <c r="B172" t="inlineStr">
        <is>
          <t>DATEDIF</t>
        </is>
      </c>
      <c r="C172" s="2" t="inlineStr">
        <is>
          <t>=DATEDIF([a],[b],"D")</t>
        </is>
      </c>
      <c r="D172" s="4" t="n">
        <v>45350</v>
      </c>
      <c r="E172" s="4" t="n">
        <v>45352</v>
      </c>
      <c r="G172">
        <f>DATEDIF(D172,E172,"D")</f>
        <v/>
      </c>
      <c r="H172">
        <f>IF(ISERROR(G172),ERROR.TYPE(G172),"")</f>
        <v/>
      </c>
      <c r="I172" t="inlineStr"/>
    </row>
    <row r="173">
      <c r="A173" t="inlineStr">
        <is>
          <t>c172</t>
        </is>
      </c>
      <c r="B173" t="inlineStr">
        <is>
          <t>DATEDIF</t>
        </is>
      </c>
      <c r="C173" s="2" t="inlineStr">
        <is>
          <t>=DATEDIF([a],[b],"MD")</t>
        </is>
      </c>
      <c r="D173" s="4" t="n">
        <v>46053</v>
      </c>
      <c r="E173" s="4" t="n">
        <v>46082</v>
      </c>
      <c r="G173">
        <f>DATEDIF(D173,E173,"MD")</f>
        <v/>
      </c>
      <c r="H173">
        <f>IF(ISERROR(G173),ERROR.TYPE(G173),"")</f>
        <v/>
      </c>
      <c r="I173" t="inlineStr">
        <is>
          <t>DATEDIF MD khi ngày đầu lớn hơn ngày cuối tháng (lỗi đã biết của Excel)</t>
        </is>
      </c>
    </row>
    <row r="174">
      <c r="A174" t="inlineStr">
        <is>
          <t>c173</t>
        </is>
      </c>
      <c r="B174" t="inlineStr">
        <is>
          <t>DATEDIF</t>
        </is>
      </c>
      <c r="C174" s="2" t="inlineStr">
        <is>
          <t>=DATEDIF([a],[b],"MD")</t>
        </is>
      </c>
      <c r="D174" s="4" t="n">
        <v>46037</v>
      </c>
      <c r="E174" s="4" t="n">
        <v>46091</v>
      </c>
      <c r="G174">
        <f>DATEDIF(D174,E174,"MD")</f>
        <v/>
      </c>
      <c r="H174">
        <f>IF(ISERROR(G174),ERROR.TYPE(G174),"")</f>
        <v/>
      </c>
      <c r="I174" t="inlineStr">
        <is>
          <t>DATEDIF MD</t>
        </is>
      </c>
    </row>
    <row r="175">
      <c r="A175" t="inlineStr">
        <is>
          <t>c174</t>
        </is>
      </c>
      <c r="B175" t="inlineStr">
        <is>
          <t>DATEDIF</t>
        </is>
      </c>
      <c r="C175" s="2" t="inlineStr">
        <is>
          <t>=DATEDIF([a],[b],"YM")</t>
        </is>
      </c>
      <c r="D175" s="4" t="n">
        <v>44150</v>
      </c>
      <c r="E175" s="4" t="n">
        <v>46095</v>
      </c>
      <c r="G175">
        <f>DATEDIF(D175,E175,"YM")</f>
        <v/>
      </c>
      <c r="H175">
        <f>IF(ISERROR(G175),ERROR.TYPE(G175),"")</f>
        <v/>
      </c>
      <c r="I175" t="inlineStr"/>
    </row>
    <row r="176">
      <c r="A176" t="inlineStr">
        <is>
          <t>c175</t>
        </is>
      </c>
      <c r="B176" t="inlineStr">
        <is>
          <t>DATEDIF</t>
        </is>
      </c>
      <c r="C176" s="2" t="inlineStr">
        <is>
          <t>=DATEDIF([a],[b],"YD")</t>
        </is>
      </c>
      <c r="D176" s="4" t="n">
        <v>44985</v>
      </c>
      <c r="E176" s="4" t="n">
        <v>45352</v>
      </c>
      <c r="G176">
        <f>DATEDIF(D176,E176,"YD")</f>
        <v/>
      </c>
      <c r="H176">
        <f>IF(ISERROR(G176),ERROR.TYPE(G176),"")</f>
        <v/>
      </c>
      <c r="I176" t="inlineStr">
        <is>
          <t>DATEDIF YD qua năm nhuận</t>
        </is>
      </c>
    </row>
    <row r="177">
      <c r="A177" t="inlineStr">
        <is>
          <t>c176</t>
        </is>
      </c>
      <c r="B177" t="inlineStr">
        <is>
          <t>DATEDIF</t>
        </is>
      </c>
      <c r="C177" s="2" t="inlineStr">
        <is>
          <t>=DATEDIF([a],[b],"Y")</t>
        </is>
      </c>
      <c r="D177" s="4" t="n">
        <v>46082</v>
      </c>
      <c r="E177" s="4" t="n">
        <v>46023</v>
      </c>
      <c r="G177">
        <f>DATEDIF(D177,E177,"Y")</f>
        <v/>
      </c>
      <c r="H177">
        <f>IF(ISERROR(G177),ERROR.TYPE(G177),"")</f>
        <v/>
      </c>
      <c r="I177" t="inlineStr"/>
    </row>
    <row r="178">
      <c r="A178" t="inlineStr">
        <is>
          <t>c177</t>
        </is>
      </c>
      <c r="B178" t="inlineStr">
        <is>
          <t>WEEKDAY</t>
        </is>
      </c>
      <c r="C178" s="2" t="inlineStr">
        <is>
          <t>=WEEKDAY(DATE(2026,10,30),2)</t>
        </is>
      </c>
      <c r="G178">
        <f>WEEKDAY(DATE(2026,10,30),2)</f>
        <v/>
      </c>
      <c r="H178">
        <f>IF(ISERROR(G178),ERROR.TYPE(G178),"")</f>
        <v/>
      </c>
      <c r="I178" t="inlineStr"/>
    </row>
    <row r="179">
      <c r="A179" t="inlineStr">
        <is>
          <t>c178</t>
        </is>
      </c>
      <c r="B179" t="inlineStr">
        <is>
          <t>WEEKDAY</t>
        </is>
      </c>
      <c r="C179" s="2" t="inlineStr">
        <is>
          <t>=WEEKDAY([a])</t>
        </is>
      </c>
      <c r="D179" s="4" t="n">
        <v>46327</v>
      </c>
      <c r="G179">
        <f>WEEKDAY(D179)</f>
        <v/>
      </c>
      <c r="H179">
        <f>IF(ISERROR(G179),ERROR.TYPE(G179),"")</f>
        <v/>
      </c>
      <c r="I179" t="inlineStr"/>
    </row>
    <row r="180">
      <c r="A180" t="inlineStr">
        <is>
          <t>c179</t>
        </is>
      </c>
      <c r="B180" t="inlineStr">
        <is>
          <t>WEEKDAY</t>
        </is>
      </c>
      <c r="C180" s="2" t="inlineStr">
        <is>
          <t>=WEEKDAY([a],3)</t>
        </is>
      </c>
      <c r="D180" s="4" t="n">
        <v>45351</v>
      </c>
      <c r="G180">
        <f>WEEKDAY(D180,3)</f>
        <v/>
      </c>
      <c r="H180">
        <f>IF(ISERROR(G180),ERROR.TYPE(G180),"")</f>
        <v/>
      </c>
      <c r="I180" t="inlineStr"/>
    </row>
    <row r="181">
      <c r="A181" t="inlineStr">
        <is>
          <t>c180</t>
        </is>
      </c>
      <c r="B181" t="inlineStr">
        <is>
          <t>WEEKDAY</t>
        </is>
      </c>
      <c r="C181" s="2" t="inlineStr">
        <is>
          <t>=WEEKDAY([a],9)</t>
        </is>
      </c>
      <c r="D181" s="4" t="n">
        <v>45351</v>
      </c>
      <c r="G181">
        <f>WEEKDAY(D181,9)</f>
        <v/>
      </c>
      <c r="H181">
        <f>IF(ISERROR(G181),ERROR.TYPE(G181),"")</f>
        <v/>
      </c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2026-10-30T06:37:19Z</dcterms:created>
  <dcterms:modified xmlns:dcterms="http://purl.org/dc/terms/" xmlns:xsi="http://www.w3.org/2001/XMLSchema-instance" xsi:type="dcterms:W3CDTF">2026-10-30T06:37:19Z</dcterms:modified>
</cp:coreProperties>
</file>