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haroldnguyen/Downloads/"/>
    </mc:Choice>
  </mc:AlternateContent>
  <xr:revisionPtr revIDLastSave="0" documentId="13_ncr:1_{F6430040-CB06-5546-93BC-19DE84892CE8}" xr6:coauthVersionLast="47" xr6:coauthVersionMax="47" xr10:uidLastSave="{00000000-0000-0000-0000-000000000000}"/>
  <bookViews>
    <workbookView xWindow="0" yWindow="600" windowWidth="27220" windowHeight="17000" xr2:uid="{00000000-000D-0000-FFFF-FFFF00000000}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1" i="1" l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H159" i="1"/>
  <c r="G159" i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H69" i="1"/>
  <c r="G69" i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<sst xmlns="http://schemas.openxmlformats.org/spreadsheetml/2006/main" count="610" uniqueCount="406">
  <si>
    <t>id</t>
  </si>
  <si>
    <t>fn</t>
  </si>
  <si>
    <t>formula</t>
  </si>
  <si>
    <t>a</t>
  </si>
  <si>
    <t>b</t>
  </si>
  <si>
    <t>c</t>
  </si>
  <si>
    <t>excel</t>
  </si>
  <si>
    <t>error_type</t>
  </si>
  <si>
    <t>note</t>
  </si>
  <si>
    <t>c001</t>
  </si>
  <si>
    <t>OP</t>
  </si>
  <si>
    <t>=[a]+1</t>
  </si>
  <si>
    <t>c002</t>
  </si>
  <si>
    <t>=[a]&amp;"x"</t>
  </si>
  <si>
    <t>c003</t>
  </si>
  <si>
    <t>=[a]=""</t>
  </si>
  <si>
    <t>c004</t>
  </si>
  <si>
    <t>=[a]=0</t>
  </si>
  <si>
    <t>c005</t>
  </si>
  <si>
    <t>=[a]</t>
  </si>
  <si>
    <t>Engine: tham chiếu cột trần với ô trống → trống (MEMORY 2026-10-30); Excel trả 0.</t>
  </si>
  <si>
    <t>c006</t>
  </si>
  <si>
    <t>=0.1+0.2</t>
  </si>
  <si>
    <t>c007</t>
  </si>
  <si>
    <t>=1/3</t>
  </si>
  <si>
    <t>Engine: DECIMAL(38,10) làm tròn 10 chữ số; Excel 15 chữ số có nghĩa.</t>
  </si>
  <si>
    <t>c008</t>
  </si>
  <si>
    <t>=[a]*1.1</t>
  </si>
  <si>
    <t>Engine chính xác tuyệt đối; Excel chỉ giữ 15 chữ số có nghĩa.</t>
  </si>
  <si>
    <t>c009</t>
  </si>
  <si>
    <t>=[a]/[b]</t>
  </si>
  <si>
    <t>c010</t>
  </si>
  <si>
    <t>c011</t>
  </si>
  <si>
    <t>="12"+1</t>
  </si>
  <si>
    <t>c012</t>
  </si>
  <si>
    <t>="abc"+1</t>
  </si>
  <si>
    <t>c013</t>
  </si>
  <si>
    <t>=TRUE+1</t>
  </si>
  <si>
    <t>c014</t>
  </si>
  <si>
    <t>=-2^2</t>
  </si>
  <si>
    <t>c015</t>
  </si>
  <si>
    <t>=2^10</t>
  </si>
  <si>
    <t>c016</t>
  </si>
  <si>
    <t>=2^-2</t>
  </si>
  <si>
    <t>c017</t>
  </si>
  <si>
    <t>=10^30*10^30</t>
  </si>
  <si>
    <t>Engine: vượt DECIMAL(38,10) → #NUM!; Excel (double) vẫn tính được.</t>
  </si>
  <si>
    <t>c018</t>
  </si>
  <si>
    <t>=50%</t>
  </si>
  <si>
    <t>c019</t>
  </si>
  <si>
    <t>=[a]%</t>
  </si>
  <si>
    <t>c020</t>
  </si>
  <si>
    <t>="abc"="ABC"</t>
  </si>
  <si>
    <t>c021</t>
  </si>
  <si>
    <t>="a"&lt;"B"</t>
  </si>
  <si>
    <t>c022</t>
  </si>
  <si>
    <t>=1&lt;"a"</t>
  </si>
  <si>
    <t>c023</t>
  </si>
  <si>
    <t>=[a]&lt;&gt;[b]</t>
  </si>
  <si>
    <t>Nguyễn</t>
  </si>
  <si>
    <t>NGUYỄN</t>
  </si>
  <si>
    <t>c024</t>
  </si>
  <si>
    <t>=[a]+30</t>
  </si>
  <si>
    <t>c025</t>
  </si>
  <si>
    <t>=[a]-[b]</t>
  </si>
  <si>
    <t>c026</t>
  </si>
  <si>
    <t>="Mã: "&amp;[a]</t>
  </si>
  <si>
    <t>c027</t>
  </si>
  <si>
    <t>=[a]&amp;[b]</t>
  </si>
  <si>
    <t>c028</t>
  </si>
  <si>
    <t>IF</t>
  </si>
  <si>
    <t>=IF([a]&gt;0,"Dương","Âm")</t>
  </si>
  <si>
    <t>c029</t>
  </si>
  <si>
    <t>c030</t>
  </si>
  <si>
    <t>=IF([a]&gt;0,[a]*2,[a]-1)</t>
  </si>
  <si>
    <t>c031</t>
  </si>
  <si>
    <t>=IF([a]/[b]&gt;1,1,2)</t>
  </si>
  <si>
    <t>c032</t>
  </si>
  <si>
    <t>=IF(TRUE,[a],0)</t>
  </si>
  <si>
    <t>Engine: nhánh IF trả về tham chiếu cột trần với ô trống → trống; Excel trả 0.</t>
  </si>
  <si>
    <t>c033</t>
  </si>
  <si>
    <t>=IF([a]&gt;0,1/0,5)</t>
  </si>
  <si>
    <t>c034</t>
  </si>
  <si>
    <t>IFS</t>
  </si>
  <si>
    <t>=IFS([a]&gt;=8,"Giỏi",[a]&gt;=5,"Khá",TRUE,"Yếu")</t>
  </si>
  <si>
    <t>c035</t>
  </si>
  <si>
    <t>c036</t>
  </si>
  <si>
    <t>c037</t>
  </si>
  <si>
    <t>=IFS([a]&gt;100,1)</t>
  </si>
  <si>
    <t>c038</t>
  </si>
  <si>
    <t>AND</t>
  </si>
  <si>
    <t>=AND([a]&gt;0,[b]&gt;0)</t>
  </si>
  <si>
    <t>c039</t>
  </si>
  <si>
    <t>c040</t>
  </si>
  <si>
    <t>c041</t>
  </si>
  <si>
    <t>=AND([a],1)</t>
  </si>
  <si>
    <t>AND bỏ qua ô trống trong tham chiếu</t>
  </si>
  <si>
    <t>c042</t>
  </si>
  <si>
    <t>OR</t>
  </si>
  <si>
    <t>=OR([a]&gt;0,[b]&gt;0)</t>
  </si>
  <si>
    <t>c043</t>
  </si>
  <si>
    <t>c044</t>
  </si>
  <si>
    <t>=OR([a]="x",[b]=1)</t>
  </si>
  <si>
    <t>c045</t>
  </si>
  <si>
    <t>=OR(1/0,TRUE)</t>
  </si>
  <si>
    <t>c046</t>
  </si>
  <si>
    <t>NOT</t>
  </si>
  <si>
    <t>=NOT([a]&gt;5)</t>
  </si>
  <si>
    <t>c047</t>
  </si>
  <si>
    <t>=NOT([a])</t>
  </si>
  <si>
    <t>c048</t>
  </si>
  <si>
    <t>c049</t>
  </si>
  <si>
    <t>=NOT("abc")</t>
  </si>
  <si>
    <t>c050</t>
  </si>
  <si>
    <t>SWITCH</t>
  </si>
  <si>
    <t>=SWITCH([a],1,"Một",2,"Hai","Khác")</t>
  </si>
  <si>
    <t>c051</t>
  </si>
  <si>
    <t>c052</t>
  </si>
  <si>
    <t>=SWITCH([a],"x",1)</t>
  </si>
  <si>
    <t>y</t>
  </si>
  <si>
    <t>c053</t>
  </si>
  <si>
    <t>=SWITCH([a],"hà nội","HN","SG")</t>
  </si>
  <si>
    <t>Hà Nội</t>
  </si>
  <si>
    <t>c054</t>
  </si>
  <si>
    <t>=SWITCH([a],0,"Không","Khác")</t>
  </si>
  <si>
    <t>SWITCH so ô trống với 0</t>
  </si>
  <si>
    <t>c055</t>
  </si>
  <si>
    <t>IFERROR</t>
  </si>
  <si>
    <t>=IFERROR([a]/[b],0)</t>
  </si>
  <si>
    <t>c056</t>
  </si>
  <si>
    <t>c057</t>
  </si>
  <si>
    <t>=IFERROR(VALUE([a]),-1)</t>
  </si>
  <si>
    <t>abc</t>
  </si>
  <si>
    <t>c058</t>
  </si>
  <si>
    <t>=IFERROR(SWITCH([a],"x",1),2)</t>
  </si>
  <si>
    <t>c059</t>
  </si>
  <si>
    <t>ISBLANK</t>
  </si>
  <si>
    <t>=ISBLANK([a])</t>
  </si>
  <si>
    <t>c060</t>
  </si>
  <si>
    <t>c061</t>
  </si>
  <si>
    <t>c062</t>
  </si>
  <si>
    <t>ISNUMBER</t>
  </si>
  <si>
    <t>=ISNUMBER([a])</t>
  </si>
  <si>
    <t>c063</t>
  </si>
  <si>
    <t>5</t>
  </si>
  <si>
    <t>c064</t>
  </si>
  <si>
    <t>c065</t>
  </si>
  <si>
    <t>c066</t>
  </si>
  <si>
    <t>ROUND</t>
  </si>
  <si>
    <t>=ROUND(2.675,2)</t>
  </si>
  <si>
    <t>c067</t>
  </si>
  <si>
    <t>=ROUND(-2.5,0)</t>
  </si>
  <si>
    <t>c068</t>
  </si>
  <si>
    <t>=ROUND([a],-2)</t>
  </si>
  <si>
    <t>c069</t>
  </si>
  <si>
    <t>=ROUND([a],1)</t>
  </si>
  <si>
    <t>c070</t>
  </si>
  <si>
    <t>c071</t>
  </si>
  <si>
    <t>=ROUND(1.2345,2.9)</t>
  </si>
  <si>
    <t>c072</t>
  </si>
  <si>
    <t>ROUNDUP</t>
  </si>
  <si>
    <t>=ROUNDUP(-1.21,1)</t>
  </si>
  <si>
    <t>c073</t>
  </si>
  <si>
    <t>=ROUNDUP(1.201,2)</t>
  </si>
  <si>
    <t>c074</t>
  </si>
  <si>
    <t>=ROUNDUP([a],-1)</t>
  </si>
  <si>
    <t>c075</t>
  </si>
  <si>
    <t>ROUNDDOWN</t>
  </si>
  <si>
    <t>=ROUNDDOWN(1.29,1)</t>
  </si>
  <si>
    <t>c076</t>
  </si>
  <si>
    <t>=ROUNDDOWN(-1.29,1)</t>
  </si>
  <si>
    <t>c077</t>
  </si>
  <si>
    <t>=ROUNDDOWN([a],-2)</t>
  </si>
  <si>
    <t>c078</t>
  </si>
  <si>
    <t>INT</t>
  </si>
  <si>
    <t>=INT(-1.5)</t>
  </si>
  <si>
    <t>c079</t>
  </si>
  <si>
    <t>=INT([a])</t>
  </si>
  <si>
    <t>c080</t>
  </si>
  <si>
    <t>c081</t>
  </si>
  <si>
    <t>ABS</t>
  </si>
  <si>
    <t>=ABS([a])</t>
  </si>
  <si>
    <t>c082</t>
  </si>
  <si>
    <t>c083</t>
  </si>
  <si>
    <t>=ABS("abc")</t>
  </si>
  <si>
    <t>c084</t>
  </si>
  <si>
    <t>MIN</t>
  </si>
  <si>
    <t>=MIN([a],[b],[c])</t>
  </si>
  <si>
    <t>c085</t>
  </si>
  <si>
    <t>c086</t>
  </si>
  <si>
    <t>=MIN([a],[b])</t>
  </si>
  <si>
    <t>c087</t>
  </si>
  <si>
    <t>=MIN([a])</t>
  </si>
  <si>
    <t>c088</t>
  </si>
  <si>
    <t>MAX</t>
  </si>
  <si>
    <t>=MAX([a],[b],[c])</t>
  </si>
  <si>
    <t>c089</t>
  </si>
  <si>
    <t>=MAX([a],[b])</t>
  </si>
  <si>
    <t>c090</t>
  </si>
  <si>
    <t>c091</t>
  </si>
  <si>
    <t>MOD</t>
  </si>
  <si>
    <t>=MOD(-3,2)</t>
  </si>
  <si>
    <t>c092</t>
  </si>
  <si>
    <t>=MOD(3,-2)</t>
  </si>
  <si>
    <t>c093</t>
  </si>
  <si>
    <t>=MOD([a],[b])</t>
  </si>
  <si>
    <t>c094</t>
  </si>
  <si>
    <t>=MOD(5.5,2)</t>
  </si>
  <si>
    <t>c095</t>
  </si>
  <si>
    <t>SUM</t>
  </si>
  <si>
    <t>=SUM([a],[b])</t>
  </si>
  <si>
    <t>c096</t>
  </si>
  <si>
    <t>c097</t>
  </si>
  <si>
    <t>c098</t>
  </si>
  <si>
    <t>=SUM("abc",1)</t>
  </si>
  <si>
    <t>c099</t>
  </si>
  <si>
    <t>LEFT</t>
  </si>
  <si>
    <t>=LEFT([a],3)</t>
  </si>
  <si>
    <t>c100</t>
  </si>
  <si>
    <t>=LEFT([a])</t>
  </si>
  <si>
    <t>c101</t>
  </si>
  <si>
    <t>=LEFT([a],2)</t>
  </si>
  <si>
    <t>Engine: chuỗi rỗng là ô trống (spec §12.1).</t>
  </si>
  <si>
    <t>c102</t>
  </si>
  <si>
    <t>=LEFT([a],-1)</t>
  </si>
  <si>
    <t>c103</t>
  </si>
  <si>
    <t>c104</t>
  </si>
  <si>
    <t>RIGHT</t>
  </si>
  <si>
    <t>=RIGHT([a],2)</t>
  </si>
  <si>
    <t>c105</t>
  </si>
  <si>
    <t>=RIGHT([a],5)</t>
  </si>
  <si>
    <t>c106</t>
  </si>
  <si>
    <t>=RIGHT([a],3)</t>
  </si>
  <si>
    <t>00123</t>
  </si>
  <si>
    <t>c107</t>
  </si>
  <si>
    <t>MID</t>
  </si>
  <si>
    <t>=MID([a],2,3)</t>
  </si>
  <si>
    <t>c108</t>
  </si>
  <si>
    <t>=MID([a],5,2)</t>
  </si>
  <si>
    <t>Engine: chuỗi rỗng là ô trống.</t>
  </si>
  <si>
    <t>c109</t>
  </si>
  <si>
    <t>=MID([a],0,1)</t>
  </si>
  <si>
    <t>c110</t>
  </si>
  <si>
    <t>LEN</t>
  </si>
  <si>
    <t>=LEN([a])</t>
  </si>
  <si>
    <t>c111</t>
  </si>
  <si>
    <t>c112</t>
  </si>
  <si>
    <t>c113</t>
  </si>
  <si>
    <t>TRIM</t>
  </si>
  <si>
    <t>=TRIM([a])</t>
  </si>
  <si>
    <t xml:space="preserve">  Trần   Văn  Bình  </t>
  </si>
  <si>
    <t>c114</t>
  </si>
  <si>
    <t>c115</t>
  </si>
  <si>
    <t>=TRIM([a])&amp;"|"</t>
  </si>
  <si>
    <t>c116</t>
  </si>
  <si>
    <t>UPPER</t>
  </si>
  <si>
    <t>=UPPER([a])</t>
  </si>
  <si>
    <t>nguyễn văn đức</t>
  </si>
  <si>
    <t>c117</t>
  </si>
  <si>
    <t>c118</t>
  </si>
  <si>
    <t>=UPPER([a])&amp;"!"</t>
  </si>
  <si>
    <t>c119</t>
  </si>
  <si>
    <t>LOWER</t>
  </si>
  <si>
    <t>=LOWER([a])</t>
  </si>
  <si>
    <t>ĐẠI HỌC</t>
  </si>
  <si>
    <t>c120</t>
  </si>
  <si>
    <t>AbC</t>
  </si>
  <si>
    <t>c121</t>
  </si>
  <si>
    <t>c122</t>
  </si>
  <si>
    <t>PROPER</t>
  </si>
  <si>
    <t>=PROPER([a])</t>
  </si>
  <si>
    <t>nguyễn văn a</t>
  </si>
  <si>
    <t>c123</t>
  </si>
  <si>
    <t>o'neil-SMITH</t>
  </si>
  <si>
    <t>c124</t>
  </si>
  <si>
    <t>abc123def</t>
  </si>
  <si>
    <t>c125</t>
  </si>
  <si>
    <t>CONCAT</t>
  </si>
  <si>
    <t>=CONCAT("a",1,TRUE)</t>
  </si>
  <si>
    <t>c126</t>
  </si>
  <si>
    <t>=CONCAT([a],"x")</t>
  </si>
  <si>
    <t>c127</t>
  </si>
  <si>
    <t>=CONCAT([a]," ",[b])</t>
  </si>
  <si>
    <t>An</t>
  </si>
  <si>
    <t>c128</t>
  </si>
  <si>
    <t>TEXTJOIN</t>
  </si>
  <si>
    <t>=TEXTJOIN(", ",TRUE,"a","","b")</t>
  </si>
  <si>
    <t>c129</t>
  </si>
  <si>
    <t>=TEXTJOIN(", ",FALSE,"a","","b")</t>
  </si>
  <si>
    <t>c130</t>
  </si>
  <si>
    <t>=TEXTJOIN("-",TRUE,[a],[b])</t>
  </si>
  <si>
    <t>x</t>
  </si>
  <si>
    <t>c131</t>
  </si>
  <si>
    <t>SUBSTITUTE</t>
  </si>
  <si>
    <t>=SUBSTITUTE([a],"-","+")</t>
  </si>
  <si>
    <t>a-b-c</t>
  </si>
  <si>
    <t>c132</t>
  </si>
  <si>
    <t>=SUBSTITUTE([a],"-","+",2)</t>
  </si>
  <si>
    <t>c133</t>
  </si>
  <si>
    <t>=SUBSTITUTE([a],"","x")</t>
  </si>
  <si>
    <t>c134</t>
  </si>
  <si>
    <t>=SUBSTITUTE([a],"a","")</t>
  </si>
  <si>
    <t>Aaa</t>
  </si>
  <si>
    <t>c135</t>
  </si>
  <si>
    <t>FIND</t>
  </si>
  <si>
    <t>=FIND("a","ABa")</t>
  </si>
  <si>
    <t>c136</t>
  </si>
  <si>
    <t>=FIND("z",[a])</t>
  </si>
  <si>
    <t>c137</t>
  </si>
  <si>
    <t>=FIND("b",[a],3)</t>
  </si>
  <si>
    <t>abcb</t>
  </si>
  <si>
    <t>c138</t>
  </si>
  <si>
    <t>=FIND("ễ",[a])</t>
  </si>
  <si>
    <t>c139</t>
  </si>
  <si>
    <t>SEARCH</t>
  </si>
  <si>
    <t>=SEARCH("b*","aBc")</t>
  </si>
  <si>
    <t>c140</t>
  </si>
  <si>
    <t>=SEARCH("?c",[a])</t>
  </si>
  <si>
    <t>c141</t>
  </si>
  <si>
    <t>=SEARCH("~*",[a])</t>
  </si>
  <si>
    <t>a*b</t>
  </si>
  <si>
    <t>c142</t>
  </si>
  <si>
    <t>=SEARCH("x",[a])</t>
  </si>
  <si>
    <t>c143</t>
  </si>
  <si>
    <t>=SEARCH("VĂN",[a])</t>
  </si>
  <si>
    <t>Nguyễn văn A</t>
  </si>
  <si>
    <t>c144</t>
  </si>
  <si>
    <t>VALUE</t>
  </si>
  <si>
    <t>=VALUE("1.5")</t>
  </si>
  <si>
    <t>c145</t>
  </si>
  <si>
    <t>=VALUE([a])</t>
  </si>
  <si>
    <t xml:space="preserve"> -12 </t>
  </si>
  <si>
    <t>c146</t>
  </si>
  <si>
    <t>c147</t>
  </si>
  <si>
    <t>c148</t>
  </si>
  <si>
    <t>DATE</t>
  </si>
  <si>
    <t>=DATE(2026,13,1)</t>
  </si>
  <si>
    <t>c149</t>
  </si>
  <si>
    <t>=DATE(2024,2,29)</t>
  </si>
  <si>
    <t>c150</t>
  </si>
  <si>
    <t>=DATE(2026,3,0)</t>
  </si>
  <si>
    <t>c151</t>
  </si>
  <si>
    <t>=DATE(2026,1,-1)</t>
  </si>
  <si>
    <t>c152</t>
  </si>
  <si>
    <t>=DATE(10000,1,1)</t>
  </si>
  <si>
    <t>c153</t>
  </si>
  <si>
    <t>YEAR</t>
  </si>
  <si>
    <t>=YEAR([a])</t>
  </si>
  <si>
    <t>c154</t>
  </si>
  <si>
    <t>c155</t>
  </si>
  <si>
    <t>YEAR(ô trống)=1900</t>
  </si>
  <si>
    <t>c156</t>
  </si>
  <si>
    <t>c157</t>
  </si>
  <si>
    <t>MONTH</t>
  </si>
  <si>
    <t>=MONTH([a])</t>
  </si>
  <si>
    <t>c158</t>
  </si>
  <si>
    <t>c159</t>
  </si>
  <si>
    <t>=MONTH(-1)</t>
  </si>
  <si>
    <t>c160</t>
  </si>
  <si>
    <t>DAY</t>
  </si>
  <si>
    <t>=DAY([a])</t>
  </si>
  <si>
    <t>c161</t>
  </si>
  <si>
    <t>c162</t>
  </si>
  <si>
    <t>DAY(ô trống)=0</t>
  </si>
  <si>
    <t>c163</t>
  </si>
  <si>
    <t>EDATE</t>
  </si>
  <si>
    <t>=EDATE(DATE(2026,1,31),1)</t>
  </si>
  <si>
    <t>c164</t>
  </si>
  <si>
    <t>=EDATE([a],12)</t>
  </si>
  <si>
    <t>c165</t>
  </si>
  <si>
    <t>=EDATE([a],-1)</t>
  </si>
  <si>
    <t>c166</t>
  </si>
  <si>
    <t>EOMONTH</t>
  </si>
  <si>
    <t>=EOMONTH(DATE(2026,2,10),0)</t>
  </si>
  <si>
    <t>c167</t>
  </si>
  <si>
    <t>=EOMONTH([a],0)</t>
  </si>
  <si>
    <t>c168</t>
  </si>
  <si>
    <t>=EOMONTH([a],-2)</t>
  </si>
  <si>
    <t>c169</t>
  </si>
  <si>
    <t>DATEDIF</t>
  </si>
  <si>
    <t>=DATEDIF(DATE(2020,3,15),DATE(2026,3,14),"Y")</t>
  </si>
  <si>
    <t>c170</t>
  </si>
  <si>
    <t>=DATEDIF([a],[b],"M")</t>
  </si>
  <si>
    <t>c171</t>
  </si>
  <si>
    <t>=DATEDIF([a],[b],"D")</t>
  </si>
  <si>
    <t>c172</t>
  </si>
  <si>
    <t>=DATEDIF([a],[b],"MD")</t>
  </si>
  <si>
    <t>DATEDIF MD khi ngày đầu lớn hơn ngày cuối tháng (lỗi đã biết của Excel)</t>
  </si>
  <si>
    <t>c173</t>
  </si>
  <si>
    <t>DATEDIF MD</t>
  </si>
  <si>
    <t>c174</t>
  </si>
  <si>
    <t>=DATEDIF([a],[b],"YM")</t>
  </si>
  <si>
    <t>c175</t>
  </si>
  <si>
    <t>=DATEDIF([a],[b],"YD")</t>
  </si>
  <si>
    <t>DATEDIF YD qua năm nhuận</t>
  </si>
  <si>
    <t>c176</t>
  </si>
  <si>
    <t>=DATEDIF([a],[b],"Y")</t>
  </si>
  <si>
    <t>c177</t>
  </si>
  <si>
    <t>WEEKDAY</t>
  </si>
  <si>
    <t>=WEEKDAY(DATE(2026,10,30),2)</t>
  </si>
  <si>
    <t>c178</t>
  </si>
  <si>
    <t>=WEEKDAY([a])</t>
  </si>
  <si>
    <t>c179</t>
  </si>
  <si>
    <t>=WEEKDAY([a],3)</t>
  </si>
  <si>
    <t>c180</t>
  </si>
  <si>
    <t>=WEEKDAY([a],9)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</si>
</sst>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3" max="3" width="48" customWidth="1"/>
    <col min="7" max="7" width="22" customWidth="1"/>
    <col min="9" max="9" width="6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2" t="s">
        <v>11</v>
      </c>
      <c r="G2">
        <f>D2+1</f>
        <v>1</v>
      </c>
      <c r="H2" t="str">
        <f t="shared" ref="H2:H33" si="0">IF(ISERROR(G2),ERROR.TYPE(G2),"")</f>
        <v/>
      </c>
    </row>
    <row r="3" spans="1:9" x14ac:dyDescent="0.2">
      <c r="A3" t="s">
        <v>12</v>
      </c>
      <c r="B3" t="s">
        <v>10</v>
      </c>
      <c r="C3" s="2" t="s">
        <v>13</v>
      </c>
      <c r="G3" t="str">
        <f>D3&amp;"x"</f>
        <v>x</v>
      </c>
      <c r="H3" t="str">
        <f t="shared" si="0"/>
        <v/>
      </c>
    </row>
    <row r="4" spans="1:9" x14ac:dyDescent="0.2">
      <c r="A4" t="s">
        <v>14</v>
      </c>
      <c r="B4" t="s">
        <v>10</v>
      </c>
      <c r="C4" s="2" t="s">
        <v>15</v>
      </c>
      <c r="G4" t="b">
        <f>D4=""</f>
        <v>1</v>
      </c>
      <c r="H4" t="str">
        <f t="shared" si="0"/>
        <v/>
      </c>
    </row>
    <row r="5" spans="1:9" x14ac:dyDescent="0.2">
      <c r="A5" t="s">
        <v>16</v>
      </c>
      <c r="B5" t="s">
        <v>10</v>
      </c>
      <c r="C5" s="2" t="s">
        <v>17</v>
      </c>
      <c r="G5" t="b">
        <f>D5=0</f>
        <v>1</v>
      </c>
      <c r="H5" t="str">
        <f t="shared" si="0"/>
        <v/>
      </c>
    </row>
    <row r="6" spans="1:9" x14ac:dyDescent="0.2">
      <c r="A6" t="s">
        <v>18</v>
      </c>
      <c r="B6" t="s">
        <v>10</v>
      </c>
      <c r="C6" s="2" t="s">
        <v>19</v>
      </c>
      <c r="G6">
        <f>D6</f>
        <v>0</v>
      </c>
      <c r="H6" t="str">
        <f t="shared" si="0"/>
        <v/>
      </c>
      <c r="I6" t="s">
        <v>20</v>
      </c>
    </row>
    <row r="7" spans="1:9" x14ac:dyDescent="0.2">
      <c r="A7" t="s">
        <v>21</v>
      </c>
      <c r="B7" t="s">
        <v>10</v>
      </c>
      <c r="C7" s="2" t="s">
        <v>22</v>
      </c>
      <c r="G7">
        <f>0.1+0.2</f>
        <v>0.30000000000000004</v>
      </c>
      <c r="H7" t="str">
        <f t="shared" si="0"/>
        <v/>
      </c>
    </row>
    <row r="8" spans="1:9" x14ac:dyDescent="0.2">
      <c r="A8" t="s">
        <v>23</v>
      </c>
      <c r="B8" t="s">
        <v>10</v>
      </c>
      <c r="C8" s="2" t="s">
        <v>24</v>
      </c>
      <c r="G8">
        <f>1/3</f>
        <v>0.33333333333333331</v>
      </c>
      <c r="H8" t="str">
        <f t="shared" si="0"/>
        <v/>
      </c>
      <c r="I8" t="s">
        <v>25</v>
      </c>
    </row>
    <row r="9" spans="1:9" x14ac:dyDescent="0.2">
      <c r="A9" t="s">
        <v>26</v>
      </c>
      <c r="B9" t="s">
        <v>10</v>
      </c>
      <c r="C9" s="2" t="s">
        <v>27</v>
      </c>
      <c r="D9">
        <v>1234567890123.25</v>
      </c>
      <c r="G9">
        <f>D9*1.1</f>
        <v>1358024679135.5752</v>
      </c>
      <c r="H9" t="str">
        <f t="shared" si="0"/>
        <v/>
      </c>
      <c r="I9" t="s">
        <v>28</v>
      </c>
    </row>
    <row r="10" spans="1:9" x14ac:dyDescent="0.2">
      <c r="A10" t="s">
        <v>29</v>
      </c>
      <c r="B10" t="s">
        <v>10</v>
      </c>
      <c r="C10" s="2" t="s">
        <v>30</v>
      </c>
      <c r="D10">
        <v>10</v>
      </c>
      <c r="E10">
        <v>0</v>
      </c>
      <c r="G10" t="e">
        <f>D10/E10</f>
        <v>#DIV/0!</v>
      </c>
      <c r="H10">
        <f t="shared" si="0"/>
        <v>2</v>
      </c>
    </row>
    <row r="11" spans="1:9" x14ac:dyDescent="0.2">
      <c r="A11" t="s">
        <v>31</v>
      </c>
      <c r="B11" t="s">
        <v>10</v>
      </c>
      <c r="C11" s="2" t="s">
        <v>30</v>
      </c>
      <c r="D11">
        <v>-7</v>
      </c>
      <c r="E11">
        <v>2</v>
      </c>
      <c r="G11">
        <f>D11/E11</f>
        <v>-3.5</v>
      </c>
      <c r="H11" t="str">
        <f t="shared" si="0"/>
        <v/>
      </c>
    </row>
    <row r="12" spans="1:9" x14ac:dyDescent="0.2">
      <c r="A12" t="s">
        <v>32</v>
      </c>
      <c r="B12" t="s">
        <v>10</v>
      </c>
      <c r="C12" s="2" t="s">
        <v>33</v>
      </c>
      <c r="G12">
        <f>"12"+1</f>
        <v>13</v>
      </c>
      <c r="H12" t="str">
        <f t="shared" si="0"/>
        <v/>
      </c>
    </row>
    <row r="13" spans="1:9" x14ac:dyDescent="0.2">
      <c r="A13" t="s">
        <v>34</v>
      </c>
      <c r="B13" t="s">
        <v>10</v>
      </c>
      <c r="C13" s="2" t="s">
        <v>35</v>
      </c>
      <c r="G13" t="e">
        <f>"abc"+1</f>
        <v>#VALUE!</v>
      </c>
      <c r="H13">
        <f t="shared" si="0"/>
        <v>3</v>
      </c>
    </row>
    <row r="14" spans="1:9" x14ac:dyDescent="0.2">
      <c r="A14" t="s">
        <v>36</v>
      </c>
      <c r="B14" t="s">
        <v>10</v>
      </c>
      <c r="C14" s="2" t="s">
        <v>37</v>
      </c>
      <c r="G14">
        <f>TRUE+1</f>
        <v>2</v>
      </c>
      <c r="H14" t="str">
        <f t="shared" si="0"/>
        <v/>
      </c>
    </row>
    <row r="15" spans="1:9" x14ac:dyDescent="0.2">
      <c r="A15" t="s">
        <v>38</v>
      </c>
      <c r="B15" t="s">
        <v>10</v>
      </c>
      <c r="C15" s="2" t="s">
        <v>39</v>
      </c>
      <c r="G15">
        <f>-2^2</f>
        <v>4</v>
      </c>
      <c r="H15" t="str">
        <f t="shared" si="0"/>
        <v/>
      </c>
    </row>
    <row r="16" spans="1:9" x14ac:dyDescent="0.2">
      <c r="A16" t="s">
        <v>40</v>
      </c>
      <c r="B16" t="s">
        <v>10</v>
      </c>
      <c r="C16" s="2" t="s">
        <v>41</v>
      </c>
      <c r="G16">
        <f>2^10</f>
        <v>1024</v>
      </c>
      <c r="H16" t="str">
        <f t="shared" si="0"/>
        <v/>
      </c>
    </row>
    <row r="17" spans="1:9" x14ac:dyDescent="0.2">
      <c r="A17" t="s">
        <v>42</v>
      </c>
      <c r="B17" t="s">
        <v>10</v>
      </c>
      <c r="C17" s="2" t="s">
        <v>43</v>
      </c>
      <c r="G17">
        <f>2^-2</f>
        <v>0.25</v>
      </c>
      <c r="H17" t="str">
        <f t="shared" si="0"/>
        <v/>
      </c>
    </row>
    <row r="18" spans="1:9" x14ac:dyDescent="0.2">
      <c r="A18" t="s">
        <v>44</v>
      </c>
      <c r="B18" t="s">
        <v>10</v>
      </c>
      <c r="C18" s="2" t="s">
        <v>45</v>
      </c>
      <c r="G18">
        <f>10^30*10^30</f>
        <v>1.0000000000000001E+60</v>
      </c>
      <c r="H18" t="str">
        <f t="shared" si="0"/>
        <v/>
      </c>
      <c r="I18" t="s">
        <v>46</v>
      </c>
    </row>
    <row r="19" spans="1:9" x14ac:dyDescent="0.2">
      <c r="A19" t="s">
        <v>47</v>
      </c>
      <c r="B19" t="s">
        <v>10</v>
      </c>
      <c r="C19" s="2" t="s">
        <v>48</v>
      </c>
      <c r="G19">
        <f>50%</f>
        <v>0.5</v>
      </c>
      <c r="H19" t="str">
        <f t="shared" si="0"/>
        <v/>
      </c>
    </row>
    <row r="20" spans="1:9" x14ac:dyDescent="0.2">
      <c r="A20" t="s">
        <v>49</v>
      </c>
      <c r="B20" t="s">
        <v>10</v>
      </c>
      <c r="C20" s="2" t="s">
        <v>50</v>
      </c>
      <c r="D20">
        <v>-12.5</v>
      </c>
      <c r="G20">
        <f>D20%</f>
        <v>-0.125</v>
      </c>
      <c r="H20" t="str">
        <f t="shared" si="0"/>
        <v/>
      </c>
    </row>
    <row r="21" spans="1:9" x14ac:dyDescent="0.2">
      <c r="A21" t="s">
        <v>51</v>
      </c>
      <c r="B21" t="s">
        <v>10</v>
      </c>
      <c r="C21" s="2" t="s">
        <v>52</v>
      </c>
      <c r="G21" t="b">
        <f>"abc"="ABC"</f>
        <v>1</v>
      </c>
      <c r="H21" t="str">
        <f t="shared" si="0"/>
        <v/>
      </c>
    </row>
    <row r="22" spans="1:9" x14ac:dyDescent="0.2">
      <c r="A22" t="s">
        <v>53</v>
      </c>
      <c r="B22" t="s">
        <v>10</v>
      </c>
      <c r="C22" s="2" t="s">
        <v>54</v>
      </c>
      <c r="G22" t="b">
        <f>"a"&lt;"B"</f>
        <v>1</v>
      </c>
      <c r="H22" t="str">
        <f t="shared" si="0"/>
        <v/>
      </c>
    </row>
    <row r="23" spans="1:9" x14ac:dyDescent="0.2">
      <c r="A23" t="s">
        <v>55</v>
      </c>
      <c r="B23" t="s">
        <v>10</v>
      </c>
      <c r="C23" s="2" t="s">
        <v>56</v>
      </c>
      <c r="G23" t="b">
        <f>1&lt;"a"</f>
        <v>1</v>
      </c>
      <c r="H23" t="str">
        <f t="shared" si="0"/>
        <v/>
      </c>
    </row>
    <row r="24" spans="1:9" x14ac:dyDescent="0.2">
      <c r="A24" t="s">
        <v>57</v>
      </c>
      <c r="B24" t="s">
        <v>10</v>
      </c>
      <c r="C24" s="2" t="s">
        <v>58</v>
      </c>
      <c r="D24" s="3" t="s">
        <v>59</v>
      </c>
      <c r="E24" s="3" t="s">
        <v>60</v>
      </c>
      <c r="G24" t="b">
        <f>D24&lt;&gt;E24</f>
        <v>0</v>
      </c>
      <c r="H24" t="str">
        <f t="shared" si="0"/>
        <v/>
      </c>
    </row>
    <row r="25" spans="1:9" x14ac:dyDescent="0.2">
      <c r="A25" t="s">
        <v>61</v>
      </c>
      <c r="B25" t="s">
        <v>10</v>
      </c>
      <c r="C25" s="2" t="s">
        <v>62</v>
      </c>
      <c r="D25" s="4">
        <v>45337</v>
      </c>
      <c r="G25">
        <f>D25+30</f>
        <v>45367</v>
      </c>
      <c r="H25" t="str">
        <f t="shared" si="0"/>
        <v/>
      </c>
    </row>
    <row r="26" spans="1:9" x14ac:dyDescent="0.2">
      <c r="A26" t="s">
        <v>63</v>
      </c>
      <c r="B26" t="s">
        <v>10</v>
      </c>
      <c r="C26" s="2" t="s">
        <v>64</v>
      </c>
      <c r="D26" s="4">
        <v>46082</v>
      </c>
      <c r="E26" s="4">
        <v>45350</v>
      </c>
      <c r="G26">
        <f>D26-E26</f>
        <v>732</v>
      </c>
      <c r="H26" t="str">
        <f t="shared" si="0"/>
        <v/>
      </c>
    </row>
    <row r="27" spans="1:9" x14ac:dyDescent="0.2">
      <c r="A27" t="s">
        <v>65</v>
      </c>
      <c r="B27" t="s">
        <v>10</v>
      </c>
      <c r="C27" s="2" t="s">
        <v>66</v>
      </c>
      <c r="D27">
        <v>1.5</v>
      </c>
      <c r="G27" t="str">
        <f>"Mã: "&amp;D27</f>
        <v>Mã: 1.5</v>
      </c>
      <c r="H27" t="str">
        <f t="shared" si="0"/>
        <v/>
      </c>
    </row>
    <row r="28" spans="1:9" x14ac:dyDescent="0.2">
      <c r="A28" t="s">
        <v>67</v>
      </c>
      <c r="B28" t="s">
        <v>10</v>
      </c>
      <c r="C28" s="2" t="s">
        <v>68</v>
      </c>
      <c r="D28" t="b">
        <v>1</v>
      </c>
      <c r="E28">
        <v>-3</v>
      </c>
      <c r="G28" t="str">
        <f>D28&amp;E28</f>
        <v>TRUE-3</v>
      </c>
      <c r="H28" t="str">
        <f t="shared" si="0"/>
        <v/>
      </c>
    </row>
    <row r="29" spans="1:9" x14ac:dyDescent="0.2">
      <c r="A29" t="s">
        <v>69</v>
      </c>
      <c r="B29" t="s">
        <v>70</v>
      </c>
      <c r="C29" s="2" t="s">
        <v>71</v>
      </c>
      <c r="D29">
        <v>5</v>
      </c>
      <c r="G29" t="str">
        <f>IF(D29&gt;0,"Dương","Âm")</f>
        <v>Dương</v>
      </c>
      <c r="H29" t="str">
        <f t="shared" si="0"/>
        <v/>
      </c>
    </row>
    <row r="30" spans="1:9" x14ac:dyDescent="0.2">
      <c r="A30" t="s">
        <v>72</v>
      </c>
      <c r="B30" t="s">
        <v>70</v>
      </c>
      <c r="C30" s="2" t="s">
        <v>71</v>
      </c>
      <c r="D30">
        <v>-3</v>
      </c>
      <c r="G30" t="str">
        <f>IF(D30&gt;0,"Dương","Âm")</f>
        <v>Âm</v>
      </c>
      <c r="H30" t="str">
        <f t="shared" si="0"/>
        <v/>
      </c>
    </row>
    <row r="31" spans="1:9" x14ac:dyDescent="0.2">
      <c r="A31" t="s">
        <v>73</v>
      </c>
      <c r="B31" t="s">
        <v>70</v>
      </c>
      <c r="C31" s="2" t="s">
        <v>74</v>
      </c>
      <c r="G31">
        <f>IF(D31&gt;0,D31*2,D31-1)</f>
        <v>-1</v>
      </c>
      <c r="H31" t="str">
        <f t="shared" si="0"/>
        <v/>
      </c>
    </row>
    <row r="32" spans="1:9" x14ac:dyDescent="0.2">
      <c r="A32" t="s">
        <v>75</v>
      </c>
      <c r="B32" t="s">
        <v>70</v>
      </c>
      <c r="C32" s="2" t="s">
        <v>76</v>
      </c>
      <c r="D32">
        <v>1</v>
      </c>
      <c r="E32">
        <v>0</v>
      </c>
      <c r="G32" t="e">
        <f>IF(D32/E32&gt;1,1,2)</f>
        <v>#DIV/0!</v>
      </c>
      <c r="H32">
        <f t="shared" si="0"/>
        <v>2</v>
      </c>
    </row>
    <row r="33" spans="1:9" x14ac:dyDescent="0.2">
      <c r="A33" t="s">
        <v>77</v>
      </c>
      <c r="B33" t="s">
        <v>70</v>
      </c>
      <c r="C33" s="2" t="s">
        <v>78</v>
      </c>
      <c r="G33">
        <f>IF(TRUE,D33,0)</f>
        <v>0</v>
      </c>
      <c r="H33" t="str">
        <f t="shared" si="0"/>
        <v/>
      </c>
      <c r="I33" t="s">
        <v>79</v>
      </c>
    </row>
    <row r="34" spans="1:9" x14ac:dyDescent="0.2">
      <c r="A34" t="s">
        <v>80</v>
      </c>
      <c r="B34" t="s">
        <v>70</v>
      </c>
      <c r="C34" s="2" t="s">
        <v>81</v>
      </c>
      <c r="D34">
        <v>-1</v>
      </c>
      <c r="G34">
        <f>IF(D34&gt;0,1/0,5)</f>
        <v>5</v>
      </c>
      <c r="H34" t="str">
        <f t="shared" ref="H34:H65" si="1">IF(ISERROR(G34),ERROR.TYPE(G34),"")</f>
        <v/>
      </c>
    </row>
    <row r="35" spans="1:9" x14ac:dyDescent="0.2">
      <c r="A35" t="s">
        <v>82</v>
      </c>
      <c r="B35" t="s">
        <v>83</v>
      </c>
      <c r="C35" s="2" t="s">
        <v>84</v>
      </c>
      <c r="D35">
        <v>9</v>
      </c>
      <c r="G35" t="str">
        <f>_xlfn.IFS(D35&gt;=8,"Giỏi",D35&gt;=5,"Khá",TRUE,"Yếu")</f>
        <v>Giỏi</v>
      </c>
      <c r="H35" t="str">
        <f t="shared" si="1"/>
        <v/>
      </c>
    </row>
    <row r="36" spans="1:9" x14ac:dyDescent="0.2">
      <c r="A36" t="s">
        <v>85</v>
      </c>
      <c r="B36" t="s">
        <v>83</v>
      </c>
      <c r="C36" s="2" t="s">
        <v>84</v>
      </c>
      <c r="D36">
        <v>6.5</v>
      </c>
      <c r="G36" t="str">
        <f>_xlfn.IFS(D36&gt;=8,"Giỏi",D36&gt;=5,"Khá",TRUE,"Yếu")</f>
        <v>Khá</v>
      </c>
      <c r="H36" t="str">
        <f t="shared" si="1"/>
        <v/>
      </c>
    </row>
    <row r="37" spans="1:9" x14ac:dyDescent="0.2">
      <c r="A37" t="s">
        <v>86</v>
      </c>
      <c r="B37" t="s">
        <v>83</v>
      </c>
      <c r="C37" s="2" t="s">
        <v>84</v>
      </c>
      <c r="G37" t="str">
        <f>_xlfn.IFS(D37&gt;=8,"Giỏi",D37&gt;=5,"Khá",TRUE,"Yếu")</f>
        <v>Yếu</v>
      </c>
      <c r="H37" t="str">
        <f t="shared" si="1"/>
        <v/>
      </c>
    </row>
    <row r="38" spans="1:9" x14ac:dyDescent="0.2">
      <c r="A38" t="s">
        <v>87</v>
      </c>
      <c r="B38" t="s">
        <v>83</v>
      </c>
      <c r="C38" s="2" t="s">
        <v>88</v>
      </c>
      <c r="D38">
        <v>1</v>
      </c>
      <c r="G38" t="e">
        <f>_xlfn.IFS(D38&gt;100,1)</f>
        <v>#N/A</v>
      </c>
      <c r="H38">
        <f t="shared" si="1"/>
        <v>7</v>
      </c>
    </row>
    <row r="39" spans="1:9" x14ac:dyDescent="0.2">
      <c r="A39" t="s">
        <v>89</v>
      </c>
      <c r="B39" t="s">
        <v>90</v>
      </c>
      <c r="C39" s="2" t="s">
        <v>91</v>
      </c>
      <c r="D39">
        <v>1</v>
      </c>
      <c r="E39">
        <v>2</v>
      </c>
      <c r="G39" t="b">
        <f>AND(D39&gt;0,E39&gt;0)</f>
        <v>1</v>
      </c>
      <c r="H39" t="str">
        <f t="shared" si="1"/>
        <v/>
      </c>
    </row>
    <row r="40" spans="1:9" x14ac:dyDescent="0.2">
      <c r="A40" t="s">
        <v>92</v>
      </c>
      <c r="B40" t="s">
        <v>90</v>
      </c>
      <c r="C40" s="2" t="s">
        <v>91</v>
      </c>
      <c r="D40">
        <v>1</v>
      </c>
      <c r="E40">
        <v>-2</v>
      </c>
      <c r="G40" t="b">
        <f>AND(D40&gt;0,E40&gt;0)</f>
        <v>0</v>
      </c>
      <c r="H40" t="str">
        <f t="shared" si="1"/>
        <v/>
      </c>
    </row>
    <row r="41" spans="1:9" x14ac:dyDescent="0.2">
      <c r="A41" t="s">
        <v>93</v>
      </c>
      <c r="B41" t="s">
        <v>90</v>
      </c>
      <c r="C41" s="2" t="s">
        <v>91</v>
      </c>
      <c r="E41">
        <v>2</v>
      </c>
      <c r="G41" t="b">
        <f>AND(D41&gt;0,E41&gt;0)</f>
        <v>0</v>
      </c>
      <c r="H41" t="str">
        <f t="shared" si="1"/>
        <v/>
      </c>
    </row>
    <row r="42" spans="1:9" x14ac:dyDescent="0.2">
      <c r="A42" t="s">
        <v>94</v>
      </c>
      <c r="B42" t="s">
        <v>90</v>
      </c>
      <c r="C42" s="2" t="s">
        <v>95</v>
      </c>
      <c r="G42" t="b">
        <f>AND(D42,1)</f>
        <v>1</v>
      </c>
      <c r="H42" t="str">
        <f t="shared" si="1"/>
        <v/>
      </c>
      <c r="I42" t="s">
        <v>96</v>
      </c>
    </row>
    <row r="43" spans="1:9" x14ac:dyDescent="0.2">
      <c r="A43" t="s">
        <v>97</v>
      </c>
      <c r="B43" t="s">
        <v>98</v>
      </c>
      <c r="C43" s="2" t="s">
        <v>99</v>
      </c>
      <c r="D43">
        <v>-1</v>
      </c>
      <c r="E43">
        <v>2</v>
      </c>
      <c r="G43" t="b">
        <f>OR(D43&gt;0,E43&gt;0)</f>
        <v>1</v>
      </c>
      <c r="H43" t="str">
        <f t="shared" si="1"/>
        <v/>
      </c>
    </row>
    <row r="44" spans="1:9" x14ac:dyDescent="0.2">
      <c r="A44" t="s">
        <v>100</v>
      </c>
      <c r="B44" t="s">
        <v>98</v>
      </c>
      <c r="C44" s="2" t="s">
        <v>99</v>
      </c>
      <c r="D44">
        <v>-1</v>
      </c>
      <c r="E44">
        <v>-2</v>
      </c>
      <c r="G44" t="b">
        <f>OR(D44&gt;0,E44&gt;0)</f>
        <v>0</v>
      </c>
      <c r="H44" t="str">
        <f t="shared" si="1"/>
        <v/>
      </c>
    </row>
    <row r="45" spans="1:9" x14ac:dyDescent="0.2">
      <c r="A45" t="s">
        <v>101</v>
      </c>
      <c r="B45" t="s">
        <v>98</v>
      </c>
      <c r="C45" s="2" t="s">
        <v>102</v>
      </c>
      <c r="G45" t="b">
        <f>OR(D45="x",E45=1)</f>
        <v>0</v>
      </c>
      <c r="H45" t="str">
        <f t="shared" si="1"/>
        <v/>
      </c>
    </row>
    <row r="46" spans="1:9" x14ac:dyDescent="0.2">
      <c r="A46" t="s">
        <v>103</v>
      </c>
      <c r="B46" t="s">
        <v>98</v>
      </c>
      <c r="C46" s="2" t="s">
        <v>104</v>
      </c>
      <c r="G46" t="e">
        <f>OR(1/0,TRUE)</f>
        <v>#DIV/0!</v>
      </c>
      <c r="H46">
        <f t="shared" si="1"/>
        <v>2</v>
      </c>
    </row>
    <row r="47" spans="1:9" x14ac:dyDescent="0.2">
      <c r="A47" t="s">
        <v>105</v>
      </c>
      <c r="B47" t="s">
        <v>106</v>
      </c>
      <c r="C47" s="2" t="s">
        <v>107</v>
      </c>
      <c r="D47">
        <v>7</v>
      </c>
      <c r="G47" t="b">
        <f>NOT(D47&gt;5)</f>
        <v>0</v>
      </c>
      <c r="H47" t="str">
        <f t="shared" si="1"/>
        <v/>
      </c>
    </row>
    <row r="48" spans="1:9" x14ac:dyDescent="0.2">
      <c r="A48" t="s">
        <v>108</v>
      </c>
      <c r="B48" t="s">
        <v>106</v>
      </c>
      <c r="C48" s="2" t="s">
        <v>109</v>
      </c>
      <c r="G48" t="b">
        <f>NOT(D48)</f>
        <v>1</v>
      </c>
      <c r="H48" t="str">
        <f t="shared" si="1"/>
        <v/>
      </c>
    </row>
    <row r="49" spans="1:9" x14ac:dyDescent="0.2">
      <c r="A49" t="s">
        <v>110</v>
      </c>
      <c r="B49" t="s">
        <v>106</v>
      </c>
      <c r="C49" s="2" t="s">
        <v>109</v>
      </c>
      <c r="D49">
        <v>-2</v>
      </c>
      <c r="G49" t="b">
        <f>NOT(D49)</f>
        <v>0</v>
      </c>
      <c r="H49" t="str">
        <f t="shared" si="1"/>
        <v/>
      </c>
    </row>
    <row r="50" spans="1:9" x14ac:dyDescent="0.2">
      <c r="A50" t="s">
        <v>111</v>
      </c>
      <c r="B50" t="s">
        <v>106</v>
      </c>
      <c r="C50" s="2" t="s">
        <v>112</v>
      </c>
      <c r="G50" t="e">
        <f>NOT("abc")</f>
        <v>#VALUE!</v>
      </c>
      <c r="H50">
        <f t="shared" si="1"/>
        <v>3</v>
      </c>
    </row>
    <row r="51" spans="1:9" x14ac:dyDescent="0.2">
      <c r="A51" t="s">
        <v>113</v>
      </c>
      <c r="B51" t="s">
        <v>114</v>
      </c>
      <c r="C51" s="2" t="s">
        <v>115</v>
      </c>
      <c r="D51">
        <v>1</v>
      </c>
      <c r="G51" t="str">
        <f>_xlfn.SWITCH(D51,1,"Một",2,"Hai","Khác")</f>
        <v>Một</v>
      </c>
      <c r="H51" t="str">
        <f t="shared" si="1"/>
        <v/>
      </c>
    </row>
    <row r="52" spans="1:9" x14ac:dyDescent="0.2">
      <c r="A52" t="s">
        <v>116</v>
      </c>
      <c r="B52" t="s">
        <v>114</v>
      </c>
      <c r="C52" s="2" t="s">
        <v>115</v>
      </c>
      <c r="D52">
        <v>3</v>
      </c>
      <c r="G52" t="str">
        <f>_xlfn.SWITCH(D52,1,"Một",2,"Hai","Khác")</f>
        <v>Khác</v>
      </c>
      <c r="H52" t="str">
        <f t="shared" si="1"/>
        <v/>
      </c>
    </row>
    <row r="53" spans="1:9" x14ac:dyDescent="0.2">
      <c r="A53" t="s">
        <v>117</v>
      </c>
      <c r="B53" t="s">
        <v>114</v>
      </c>
      <c r="C53" s="2" t="s">
        <v>118</v>
      </c>
      <c r="D53" s="3" t="s">
        <v>119</v>
      </c>
      <c r="G53" t="e">
        <f>_xlfn.SWITCH(D53,"x",1)</f>
        <v>#N/A</v>
      </c>
      <c r="H53">
        <f t="shared" si="1"/>
        <v>7</v>
      </c>
    </row>
    <row r="54" spans="1:9" x14ac:dyDescent="0.2">
      <c r="A54" t="s">
        <v>120</v>
      </c>
      <c r="B54" t="s">
        <v>114</v>
      </c>
      <c r="C54" s="2" t="s">
        <v>121</v>
      </c>
      <c r="D54" s="3" t="s">
        <v>122</v>
      </c>
      <c r="G54" t="str">
        <f>_xlfn.SWITCH(D54,"hà nội","HN","SG")</f>
        <v>HN</v>
      </c>
      <c r="H54" t="str">
        <f t="shared" si="1"/>
        <v/>
      </c>
    </row>
    <row r="55" spans="1:9" x14ac:dyDescent="0.2">
      <c r="A55" t="s">
        <v>123</v>
      </c>
      <c r="B55" t="s">
        <v>114</v>
      </c>
      <c r="C55" s="2" t="s">
        <v>124</v>
      </c>
      <c r="G55" t="str">
        <f>_xlfn.SWITCH(D55,0,"Không","Khác")</f>
        <v>Không</v>
      </c>
      <c r="H55" t="str">
        <f t="shared" si="1"/>
        <v/>
      </c>
      <c r="I55" t="s">
        <v>125</v>
      </c>
    </row>
    <row r="56" spans="1:9" x14ac:dyDescent="0.2">
      <c r="A56" t="s">
        <v>126</v>
      </c>
      <c r="B56" t="s">
        <v>127</v>
      </c>
      <c r="C56" s="2" t="s">
        <v>128</v>
      </c>
      <c r="D56">
        <v>1</v>
      </c>
      <c r="E56">
        <v>0</v>
      </c>
      <c r="G56">
        <f>IFERROR(D56/E56,0)</f>
        <v>0</v>
      </c>
      <c r="H56" t="str">
        <f t="shared" si="1"/>
        <v/>
      </c>
    </row>
    <row r="57" spans="1:9" x14ac:dyDescent="0.2">
      <c r="A57" t="s">
        <v>129</v>
      </c>
      <c r="B57" t="s">
        <v>127</v>
      </c>
      <c r="C57" s="2" t="s">
        <v>128</v>
      </c>
      <c r="D57">
        <v>6</v>
      </c>
      <c r="E57">
        <v>3</v>
      </c>
      <c r="G57">
        <f>IFERROR(D57/E57,0)</f>
        <v>2</v>
      </c>
      <c r="H57" t="str">
        <f t="shared" si="1"/>
        <v/>
      </c>
    </row>
    <row r="58" spans="1:9" x14ac:dyDescent="0.2">
      <c r="A58" t="s">
        <v>130</v>
      </c>
      <c r="B58" t="s">
        <v>127</v>
      </c>
      <c r="C58" s="2" t="s">
        <v>131</v>
      </c>
      <c r="D58" s="3" t="s">
        <v>132</v>
      </c>
      <c r="G58">
        <f>IFERROR(VALUE(D58),-1)</f>
        <v>-1</v>
      </c>
      <c r="H58" t="str">
        <f t="shared" si="1"/>
        <v/>
      </c>
    </row>
    <row r="59" spans="1:9" x14ac:dyDescent="0.2">
      <c r="A59" t="s">
        <v>133</v>
      </c>
      <c r="B59" t="s">
        <v>127</v>
      </c>
      <c r="C59" s="2" t="s">
        <v>134</v>
      </c>
      <c r="D59" s="3" t="s">
        <v>119</v>
      </c>
      <c r="G59">
        <f>IFERROR(_xlfn.SWITCH(D59,"x",1),2)</f>
        <v>2</v>
      </c>
      <c r="H59" t="str">
        <f t="shared" si="1"/>
        <v/>
      </c>
    </row>
    <row r="60" spans="1:9" x14ac:dyDescent="0.2">
      <c r="A60" t="s">
        <v>135</v>
      </c>
      <c r="B60" t="s">
        <v>136</v>
      </c>
      <c r="C60" s="2" t="s">
        <v>137</v>
      </c>
      <c r="G60" t="b">
        <f>ISBLANK(D60)</f>
        <v>1</v>
      </c>
      <c r="H60" t="str">
        <f t="shared" si="1"/>
        <v/>
      </c>
    </row>
    <row r="61" spans="1:9" x14ac:dyDescent="0.2">
      <c r="A61" t="s">
        <v>138</v>
      </c>
      <c r="B61" t="s">
        <v>136</v>
      </c>
      <c r="C61" s="2" t="s">
        <v>137</v>
      </c>
      <c r="D61">
        <v>0</v>
      </c>
      <c r="G61" t="b">
        <f>ISBLANK(D61)</f>
        <v>0</v>
      </c>
      <c r="H61" t="str">
        <f t="shared" si="1"/>
        <v/>
      </c>
    </row>
    <row r="62" spans="1:9" x14ac:dyDescent="0.2">
      <c r="A62" t="s">
        <v>139</v>
      </c>
      <c r="B62" t="s">
        <v>136</v>
      </c>
      <c r="C62" s="2" t="s">
        <v>137</v>
      </c>
      <c r="D62" s="3" t="s">
        <v>59</v>
      </c>
      <c r="G62" t="b">
        <f>ISBLANK(D62)</f>
        <v>0</v>
      </c>
      <c r="H62" t="str">
        <f t="shared" si="1"/>
        <v/>
      </c>
    </row>
    <row r="63" spans="1:9" x14ac:dyDescent="0.2">
      <c r="A63" t="s">
        <v>140</v>
      </c>
      <c r="B63" t="s">
        <v>141</v>
      </c>
      <c r="C63" s="2" t="s">
        <v>142</v>
      </c>
      <c r="D63">
        <v>5</v>
      </c>
      <c r="G63" t="b">
        <f>ISNUMBER(D63)</f>
        <v>1</v>
      </c>
      <c r="H63" t="str">
        <f t="shared" si="1"/>
        <v/>
      </c>
    </row>
    <row r="64" spans="1:9" x14ac:dyDescent="0.2">
      <c r="A64" t="s">
        <v>143</v>
      </c>
      <c r="B64" t="s">
        <v>141</v>
      </c>
      <c r="C64" s="2" t="s">
        <v>142</v>
      </c>
      <c r="D64" s="3" t="s">
        <v>144</v>
      </c>
      <c r="G64" t="b">
        <f>ISNUMBER(D64)</f>
        <v>0</v>
      </c>
      <c r="H64" t="str">
        <f t="shared" si="1"/>
        <v/>
      </c>
    </row>
    <row r="65" spans="1:8" x14ac:dyDescent="0.2">
      <c r="A65" t="s">
        <v>145</v>
      </c>
      <c r="B65" t="s">
        <v>141</v>
      </c>
      <c r="C65" s="2" t="s">
        <v>142</v>
      </c>
      <c r="G65" t="b">
        <f>ISNUMBER(D65)</f>
        <v>0</v>
      </c>
      <c r="H65" t="str">
        <f t="shared" si="1"/>
        <v/>
      </c>
    </row>
    <row r="66" spans="1:8" x14ac:dyDescent="0.2">
      <c r="A66" t="s">
        <v>146</v>
      </c>
      <c r="B66" t="s">
        <v>141</v>
      </c>
      <c r="C66" s="2" t="s">
        <v>142</v>
      </c>
      <c r="D66" s="4">
        <v>45351</v>
      </c>
      <c r="G66" t="b">
        <f>ISNUMBER(D66)</f>
        <v>1</v>
      </c>
      <c r="H66" t="str">
        <f t="shared" ref="H66:H97" si="2">IF(ISERROR(G66),ERROR.TYPE(G66),"")</f>
        <v/>
      </c>
    </row>
    <row r="67" spans="1:8" x14ac:dyDescent="0.2">
      <c r="A67" t="s">
        <v>147</v>
      </c>
      <c r="B67" t="s">
        <v>148</v>
      </c>
      <c r="C67" s="2" t="s">
        <v>149</v>
      </c>
      <c r="G67">
        <f>ROUND(2.675,2)</f>
        <v>2.68</v>
      </c>
      <c r="H67" t="str">
        <f t="shared" si="2"/>
        <v/>
      </c>
    </row>
    <row r="68" spans="1:8" x14ac:dyDescent="0.2">
      <c r="A68" t="s">
        <v>150</v>
      </c>
      <c r="B68" t="s">
        <v>148</v>
      </c>
      <c r="C68" s="2" t="s">
        <v>151</v>
      </c>
      <c r="G68">
        <f>ROUND(-2.5,0)</f>
        <v>-3</v>
      </c>
      <c r="H68" t="str">
        <f t="shared" si="2"/>
        <v/>
      </c>
    </row>
    <row r="69" spans="1:8" x14ac:dyDescent="0.2">
      <c r="A69" t="s">
        <v>152</v>
      </c>
      <c r="B69" t="s">
        <v>148</v>
      </c>
      <c r="C69" s="2" t="s">
        <v>153</v>
      </c>
      <c r="D69">
        <v>1234.5678</v>
      </c>
      <c r="G69">
        <f>ROUND(D69,-2)</f>
        <v>1200</v>
      </c>
      <c r="H69" t="str">
        <f t="shared" si="2"/>
        <v/>
      </c>
    </row>
    <row r="70" spans="1:8" x14ac:dyDescent="0.2">
      <c r="A70" t="s">
        <v>154</v>
      </c>
      <c r="B70" t="s">
        <v>148</v>
      </c>
      <c r="C70" s="2" t="s">
        <v>155</v>
      </c>
      <c r="G70">
        <f>ROUND(D70,1)</f>
        <v>0</v>
      </c>
      <c r="H70" t="str">
        <f t="shared" si="2"/>
        <v/>
      </c>
    </row>
    <row r="71" spans="1:8" x14ac:dyDescent="0.2">
      <c r="A71" t="s">
        <v>156</v>
      </c>
      <c r="B71" t="s">
        <v>148</v>
      </c>
      <c r="C71" s="2" t="s">
        <v>155</v>
      </c>
      <c r="D71" s="3" t="s">
        <v>132</v>
      </c>
      <c r="G71" t="e">
        <f>ROUND(D71,1)</f>
        <v>#VALUE!</v>
      </c>
      <c r="H71">
        <f t="shared" si="2"/>
        <v>3</v>
      </c>
    </row>
    <row r="72" spans="1:8" x14ac:dyDescent="0.2">
      <c r="A72" t="s">
        <v>157</v>
      </c>
      <c r="B72" t="s">
        <v>148</v>
      </c>
      <c r="C72" s="2" t="s">
        <v>158</v>
      </c>
      <c r="G72">
        <f>ROUND(1.2345,2.9)</f>
        <v>1.23</v>
      </c>
      <c r="H72" t="str">
        <f t="shared" si="2"/>
        <v/>
      </c>
    </row>
    <row r="73" spans="1:8" x14ac:dyDescent="0.2">
      <c r="A73" t="s">
        <v>159</v>
      </c>
      <c r="B73" t="s">
        <v>160</v>
      </c>
      <c r="C73" s="2" t="s">
        <v>161</v>
      </c>
      <c r="G73">
        <f>ROUNDUP(-1.21,1)</f>
        <v>-1.3</v>
      </c>
      <c r="H73" t="str">
        <f t="shared" si="2"/>
        <v/>
      </c>
    </row>
    <row r="74" spans="1:8" x14ac:dyDescent="0.2">
      <c r="A74" t="s">
        <v>162</v>
      </c>
      <c r="B74" t="s">
        <v>160</v>
      </c>
      <c r="C74" s="2" t="s">
        <v>163</v>
      </c>
      <c r="G74">
        <f>ROUNDUP(1.201,2)</f>
        <v>1.21</v>
      </c>
      <c r="H74" t="str">
        <f t="shared" si="2"/>
        <v/>
      </c>
    </row>
    <row r="75" spans="1:8" x14ac:dyDescent="0.2">
      <c r="A75" t="s">
        <v>164</v>
      </c>
      <c r="B75" t="s">
        <v>160</v>
      </c>
      <c r="C75" s="2" t="s">
        <v>165</v>
      </c>
      <c r="D75">
        <v>5</v>
      </c>
      <c r="G75">
        <f>ROUNDUP(D75,-1)</f>
        <v>10</v>
      </c>
      <c r="H75" t="str">
        <f t="shared" si="2"/>
        <v/>
      </c>
    </row>
    <row r="76" spans="1:8" x14ac:dyDescent="0.2">
      <c r="A76" t="s">
        <v>166</v>
      </c>
      <c r="B76" t="s">
        <v>167</v>
      </c>
      <c r="C76" s="2" t="s">
        <v>168</v>
      </c>
      <c r="G76">
        <f>ROUNDDOWN(1.29,1)</f>
        <v>1.2</v>
      </c>
      <c r="H76" t="str">
        <f t="shared" si="2"/>
        <v/>
      </c>
    </row>
    <row r="77" spans="1:8" x14ac:dyDescent="0.2">
      <c r="A77" t="s">
        <v>169</v>
      </c>
      <c r="B77" t="s">
        <v>167</v>
      </c>
      <c r="C77" s="2" t="s">
        <v>170</v>
      </c>
      <c r="G77">
        <f>ROUNDDOWN(-1.29,1)</f>
        <v>-1.2</v>
      </c>
      <c r="H77" t="str">
        <f t="shared" si="2"/>
        <v/>
      </c>
    </row>
    <row r="78" spans="1:8" x14ac:dyDescent="0.2">
      <c r="A78" t="s">
        <v>171</v>
      </c>
      <c r="B78" t="s">
        <v>167</v>
      </c>
      <c r="C78" s="2" t="s">
        <v>172</v>
      </c>
      <c r="D78">
        <v>999</v>
      </c>
      <c r="G78">
        <f>ROUNDDOWN(D78,-2)</f>
        <v>900</v>
      </c>
      <c r="H78" t="str">
        <f t="shared" si="2"/>
        <v/>
      </c>
    </row>
    <row r="79" spans="1:8" x14ac:dyDescent="0.2">
      <c r="A79" t="s">
        <v>173</v>
      </c>
      <c r="B79" t="s">
        <v>174</v>
      </c>
      <c r="C79" s="2" t="s">
        <v>175</v>
      </c>
      <c r="G79">
        <f>INT(-1.5)</f>
        <v>-2</v>
      </c>
      <c r="H79" t="str">
        <f t="shared" si="2"/>
        <v/>
      </c>
    </row>
    <row r="80" spans="1:8" x14ac:dyDescent="0.2">
      <c r="A80" t="s">
        <v>176</v>
      </c>
      <c r="B80" t="s">
        <v>174</v>
      </c>
      <c r="C80" s="2" t="s">
        <v>177</v>
      </c>
      <c r="D80">
        <v>2.9</v>
      </c>
      <c r="G80">
        <f>INT(D80)</f>
        <v>2</v>
      </c>
      <c r="H80" t="str">
        <f t="shared" si="2"/>
        <v/>
      </c>
    </row>
    <row r="81" spans="1:8" x14ac:dyDescent="0.2">
      <c r="A81" t="s">
        <v>178</v>
      </c>
      <c r="B81" t="s">
        <v>174</v>
      </c>
      <c r="C81" s="2" t="s">
        <v>177</v>
      </c>
      <c r="G81">
        <f>INT(D81)</f>
        <v>0</v>
      </c>
      <c r="H81" t="str">
        <f t="shared" si="2"/>
        <v/>
      </c>
    </row>
    <row r="82" spans="1:8" x14ac:dyDescent="0.2">
      <c r="A82" t="s">
        <v>179</v>
      </c>
      <c r="B82" t="s">
        <v>180</v>
      </c>
      <c r="C82" s="2" t="s">
        <v>181</v>
      </c>
      <c r="D82">
        <v>-3.5</v>
      </c>
      <c r="G82">
        <f>ABS(D82)</f>
        <v>3.5</v>
      </c>
      <c r="H82" t="str">
        <f t="shared" si="2"/>
        <v/>
      </c>
    </row>
    <row r="83" spans="1:8" x14ac:dyDescent="0.2">
      <c r="A83" t="s">
        <v>182</v>
      </c>
      <c r="B83" t="s">
        <v>180</v>
      </c>
      <c r="C83" s="2" t="s">
        <v>181</v>
      </c>
      <c r="G83">
        <f>ABS(D83)</f>
        <v>0</v>
      </c>
      <c r="H83" t="str">
        <f t="shared" si="2"/>
        <v/>
      </c>
    </row>
    <row r="84" spans="1:8" x14ac:dyDescent="0.2">
      <c r="A84" t="s">
        <v>183</v>
      </c>
      <c r="B84" t="s">
        <v>180</v>
      </c>
      <c r="C84" s="2" t="s">
        <v>184</v>
      </c>
      <c r="G84" t="e">
        <f>ABS("abc")</f>
        <v>#VALUE!</v>
      </c>
      <c r="H84">
        <f t="shared" si="2"/>
        <v>3</v>
      </c>
    </row>
    <row r="85" spans="1:8" x14ac:dyDescent="0.2">
      <c r="A85" t="s">
        <v>185</v>
      </c>
      <c r="B85" t="s">
        <v>186</v>
      </c>
      <c r="C85" s="2" t="s">
        <v>187</v>
      </c>
      <c r="D85">
        <v>3</v>
      </c>
      <c r="E85">
        <v>-1</v>
      </c>
      <c r="F85">
        <v>2</v>
      </c>
      <c r="G85">
        <f>MIN(D85,E85,F85)</f>
        <v>-1</v>
      </c>
      <c r="H85" t="str">
        <f t="shared" si="2"/>
        <v/>
      </c>
    </row>
    <row r="86" spans="1:8" x14ac:dyDescent="0.2">
      <c r="A86" t="s">
        <v>188</v>
      </c>
      <c r="B86" t="s">
        <v>186</v>
      </c>
      <c r="C86" s="2" t="s">
        <v>187</v>
      </c>
      <c r="E86">
        <v>2</v>
      </c>
      <c r="F86">
        <v>5</v>
      </c>
      <c r="G86">
        <f>MIN(D86,E86,F86)</f>
        <v>2</v>
      </c>
      <c r="H86" t="str">
        <f t="shared" si="2"/>
        <v/>
      </c>
    </row>
    <row r="87" spans="1:8" x14ac:dyDescent="0.2">
      <c r="A87" t="s">
        <v>189</v>
      </c>
      <c r="B87" t="s">
        <v>186</v>
      </c>
      <c r="C87" s="2" t="s">
        <v>190</v>
      </c>
      <c r="D87" s="3" t="s">
        <v>132</v>
      </c>
      <c r="E87">
        <v>7</v>
      </c>
      <c r="G87">
        <f>MIN(D87,E87)</f>
        <v>7</v>
      </c>
      <c r="H87" t="str">
        <f t="shared" si="2"/>
        <v/>
      </c>
    </row>
    <row r="88" spans="1:8" x14ac:dyDescent="0.2">
      <c r="A88" t="s">
        <v>191</v>
      </c>
      <c r="B88" t="s">
        <v>186</v>
      </c>
      <c r="C88" s="2" t="s">
        <v>192</v>
      </c>
      <c r="G88">
        <f>MIN(D88)</f>
        <v>0</v>
      </c>
      <c r="H88" t="str">
        <f t="shared" si="2"/>
        <v/>
      </c>
    </row>
    <row r="89" spans="1:8" x14ac:dyDescent="0.2">
      <c r="A89" t="s">
        <v>193</v>
      </c>
      <c r="B89" t="s">
        <v>194</v>
      </c>
      <c r="C89" s="2" t="s">
        <v>195</v>
      </c>
      <c r="D89">
        <v>3</v>
      </c>
      <c r="E89">
        <v>-1</v>
      </c>
      <c r="F89">
        <v>2</v>
      </c>
      <c r="G89">
        <f>MAX(D89,E89,F89)</f>
        <v>3</v>
      </c>
      <c r="H89" t="str">
        <f t="shared" si="2"/>
        <v/>
      </c>
    </row>
    <row r="90" spans="1:8" x14ac:dyDescent="0.2">
      <c r="A90" t="s">
        <v>196</v>
      </c>
      <c r="B90" t="s">
        <v>194</v>
      </c>
      <c r="C90" s="2" t="s">
        <v>197</v>
      </c>
      <c r="E90">
        <v>-5</v>
      </c>
      <c r="G90">
        <f>MAX(D90,E90)</f>
        <v>-5</v>
      </c>
      <c r="H90" t="str">
        <f t="shared" si="2"/>
        <v/>
      </c>
    </row>
    <row r="91" spans="1:8" x14ac:dyDescent="0.2">
      <c r="A91" t="s">
        <v>198</v>
      </c>
      <c r="B91" t="s">
        <v>194</v>
      </c>
      <c r="C91" s="2" t="s">
        <v>197</v>
      </c>
      <c r="D91" s="3" t="s">
        <v>132</v>
      </c>
      <c r="E91">
        <v>-7</v>
      </c>
      <c r="G91">
        <f>MAX(D91,E91)</f>
        <v>-7</v>
      </c>
      <c r="H91" t="str">
        <f t="shared" si="2"/>
        <v/>
      </c>
    </row>
    <row r="92" spans="1:8" x14ac:dyDescent="0.2">
      <c r="A92" t="s">
        <v>199</v>
      </c>
      <c r="B92" t="s">
        <v>200</v>
      </c>
      <c r="C92" s="2" t="s">
        <v>201</v>
      </c>
      <c r="G92">
        <f>MOD(-3,2)</f>
        <v>1</v>
      </c>
      <c r="H92" t="str">
        <f t="shared" si="2"/>
        <v/>
      </c>
    </row>
    <row r="93" spans="1:8" x14ac:dyDescent="0.2">
      <c r="A93" t="s">
        <v>202</v>
      </c>
      <c r="B93" t="s">
        <v>200</v>
      </c>
      <c r="C93" s="2" t="s">
        <v>203</v>
      </c>
      <c r="G93">
        <f>MOD(3,-2)</f>
        <v>-1</v>
      </c>
      <c r="H93" t="str">
        <f t="shared" si="2"/>
        <v/>
      </c>
    </row>
    <row r="94" spans="1:8" x14ac:dyDescent="0.2">
      <c r="A94" t="s">
        <v>204</v>
      </c>
      <c r="B94" t="s">
        <v>200</v>
      </c>
      <c r="C94" s="2" t="s">
        <v>205</v>
      </c>
      <c r="D94">
        <v>5</v>
      </c>
      <c r="G94" t="e">
        <f>MOD(D94,E94)</f>
        <v>#DIV/0!</v>
      </c>
      <c r="H94">
        <f t="shared" si="2"/>
        <v>2</v>
      </c>
    </row>
    <row r="95" spans="1:8" x14ac:dyDescent="0.2">
      <c r="A95" t="s">
        <v>206</v>
      </c>
      <c r="B95" t="s">
        <v>200</v>
      </c>
      <c r="C95" s="2" t="s">
        <v>207</v>
      </c>
      <c r="G95">
        <f>MOD(5.5,2)</f>
        <v>1.5</v>
      </c>
      <c r="H95" t="str">
        <f t="shared" si="2"/>
        <v/>
      </c>
    </row>
    <row r="96" spans="1:8" x14ac:dyDescent="0.2">
      <c r="A96" t="s">
        <v>208</v>
      </c>
      <c r="B96" t="s">
        <v>209</v>
      </c>
      <c r="C96" s="2" t="s">
        <v>210</v>
      </c>
      <c r="E96">
        <v>2</v>
      </c>
      <c r="G96">
        <f>SUM(D96,E96)</f>
        <v>2</v>
      </c>
      <c r="H96" t="str">
        <f t="shared" si="2"/>
        <v/>
      </c>
    </row>
    <row r="97" spans="1:9" x14ac:dyDescent="0.2">
      <c r="A97" t="s">
        <v>211</v>
      </c>
      <c r="B97" t="s">
        <v>209</v>
      </c>
      <c r="C97" s="2" t="s">
        <v>210</v>
      </c>
      <c r="D97">
        <v>1.1000000000000001</v>
      </c>
      <c r="E97">
        <v>2.2000000000000002</v>
      </c>
      <c r="G97">
        <f>SUM(D97,E97)</f>
        <v>3.3000000000000003</v>
      </c>
      <c r="H97" t="str">
        <f t="shared" si="2"/>
        <v/>
      </c>
    </row>
    <row r="98" spans="1:9" x14ac:dyDescent="0.2">
      <c r="A98" t="s">
        <v>212</v>
      </c>
      <c r="B98" t="s">
        <v>209</v>
      </c>
      <c r="C98" s="2" t="s">
        <v>210</v>
      </c>
      <c r="D98" s="3" t="s">
        <v>132</v>
      </c>
      <c r="E98">
        <v>-5</v>
      </c>
      <c r="G98">
        <f>SUM(D98,E98)</f>
        <v>-5</v>
      </c>
      <c r="H98" t="str">
        <f t="shared" ref="H98:H129" si="3">IF(ISERROR(G98),ERROR.TYPE(G98),"")</f>
        <v/>
      </c>
    </row>
    <row r="99" spans="1:9" x14ac:dyDescent="0.2">
      <c r="A99" t="s">
        <v>213</v>
      </c>
      <c r="B99" t="s">
        <v>209</v>
      </c>
      <c r="C99" s="2" t="s">
        <v>214</v>
      </c>
      <c r="G99" t="e">
        <f>SUM("abc",1)</f>
        <v>#VALUE!</v>
      </c>
      <c r="H99">
        <f t="shared" si="3"/>
        <v>3</v>
      </c>
    </row>
    <row r="100" spans="1:9" x14ac:dyDescent="0.2">
      <c r="A100" t="s">
        <v>215</v>
      </c>
      <c r="B100" t="s">
        <v>216</v>
      </c>
      <c r="C100" s="2" t="s">
        <v>217</v>
      </c>
      <c r="D100" s="3" t="s">
        <v>59</v>
      </c>
      <c r="G100" t="str">
        <f>LEFT(D100,3)</f>
        <v>Ngu</v>
      </c>
      <c r="H100" t="str">
        <f t="shared" si="3"/>
        <v/>
      </c>
    </row>
    <row r="101" spans="1:9" x14ac:dyDescent="0.2">
      <c r="A101" t="s">
        <v>218</v>
      </c>
      <c r="B101" t="s">
        <v>216</v>
      </c>
      <c r="C101" s="2" t="s">
        <v>219</v>
      </c>
      <c r="D101" s="3" t="s">
        <v>132</v>
      </c>
      <c r="G101" t="str">
        <f>LEFT(D101)</f>
        <v>a</v>
      </c>
      <c r="H101" t="str">
        <f t="shared" si="3"/>
        <v/>
      </c>
    </row>
    <row r="102" spans="1:9" x14ac:dyDescent="0.2">
      <c r="A102" t="s">
        <v>220</v>
      </c>
      <c r="B102" t="s">
        <v>216</v>
      </c>
      <c r="C102" s="2" t="s">
        <v>221</v>
      </c>
      <c r="G102" t="str">
        <f>LEFT(D102,2)</f>
        <v/>
      </c>
      <c r="H102" t="str">
        <f t="shared" si="3"/>
        <v/>
      </c>
      <c r="I102" t="s">
        <v>222</v>
      </c>
    </row>
    <row r="103" spans="1:9" x14ac:dyDescent="0.2">
      <c r="A103" t="s">
        <v>223</v>
      </c>
      <c r="B103" t="s">
        <v>216</v>
      </c>
      <c r="C103" s="2" t="s">
        <v>224</v>
      </c>
      <c r="D103" s="3" t="s">
        <v>132</v>
      </c>
      <c r="G103" t="e">
        <f>LEFT(D103,-1)</f>
        <v>#VALUE!</v>
      </c>
      <c r="H103">
        <f t="shared" si="3"/>
        <v>3</v>
      </c>
    </row>
    <row r="104" spans="1:9" x14ac:dyDescent="0.2">
      <c r="A104" t="s">
        <v>225</v>
      </c>
      <c r="B104" t="s">
        <v>216</v>
      </c>
      <c r="C104" s="2" t="s">
        <v>221</v>
      </c>
      <c r="D104">
        <v>12345</v>
      </c>
      <c r="G104" t="str">
        <f>LEFT(D104,2)</f>
        <v>12</v>
      </c>
      <c r="H104" t="str">
        <f t="shared" si="3"/>
        <v/>
      </c>
    </row>
    <row r="105" spans="1:9" x14ac:dyDescent="0.2">
      <c r="A105" t="s">
        <v>226</v>
      </c>
      <c r="B105" t="s">
        <v>227</v>
      </c>
      <c r="C105" s="2" t="s">
        <v>228</v>
      </c>
      <c r="D105" s="3" t="s">
        <v>59</v>
      </c>
      <c r="G105" t="str">
        <f>RIGHT(D105,2)</f>
        <v>ễn</v>
      </c>
      <c r="H105" t="str">
        <f t="shared" si="3"/>
        <v/>
      </c>
    </row>
    <row r="106" spans="1:9" x14ac:dyDescent="0.2">
      <c r="A106" t="s">
        <v>229</v>
      </c>
      <c r="B106" t="s">
        <v>227</v>
      </c>
      <c r="C106" s="2" t="s">
        <v>230</v>
      </c>
      <c r="D106" s="3" t="s">
        <v>132</v>
      </c>
      <c r="G106" t="str">
        <f>RIGHT(D106,5)</f>
        <v>abc</v>
      </c>
      <c r="H106" t="str">
        <f t="shared" si="3"/>
        <v/>
      </c>
    </row>
    <row r="107" spans="1:9" x14ac:dyDescent="0.2">
      <c r="A107" t="s">
        <v>231</v>
      </c>
      <c r="B107" t="s">
        <v>227</v>
      </c>
      <c r="C107" s="2" t="s">
        <v>232</v>
      </c>
      <c r="D107" s="3" t="s">
        <v>233</v>
      </c>
      <c r="G107" t="str">
        <f>RIGHT(D107,3)</f>
        <v>123</v>
      </c>
      <c r="H107" t="str">
        <f t="shared" si="3"/>
        <v/>
      </c>
    </row>
    <row r="108" spans="1:9" x14ac:dyDescent="0.2">
      <c r="A108" t="s">
        <v>234</v>
      </c>
      <c r="B108" t="s">
        <v>235</v>
      </c>
      <c r="C108" s="2" t="s">
        <v>236</v>
      </c>
      <c r="D108" s="3" t="s">
        <v>59</v>
      </c>
      <c r="G108" t="str">
        <f>MID(D108,2,3)</f>
        <v>guy</v>
      </c>
      <c r="H108" t="str">
        <f t="shared" si="3"/>
        <v/>
      </c>
    </row>
    <row r="109" spans="1:9" x14ac:dyDescent="0.2">
      <c r="A109" t="s">
        <v>237</v>
      </c>
      <c r="B109" t="s">
        <v>235</v>
      </c>
      <c r="C109" s="2" t="s">
        <v>238</v>
      </c>
      <c r="D109" s="3" t="s">
        <v>132</v>
      </c>
      <c r="G109" t="str">
        <f>MID(D109,5,2)</f>
        <v/>
      </c>
      <c r="H109" t="str">
        <f t="shared" si="3"/>
        <v/>
      </c>
      <c r="I109" t="s">
        <v>239</v>
      </c>
    </row>
    <row r="110" spans="1:9" x14ac:dyDescent="0.2">
      <c r="A110" t="s">
        <v>240</v>
      </c>
      <c r="B110" t="s">
        <v>235</v>
      </c>
      <c r="C110" s="2" t="s">
        <v>241</v>
      </c>
      <c r="D110" s="3" t="s">
        <v>132</v>
      </c>
      <c r="G110" t="e">
        <f>MID(D110,0,1)</f>
        <v>#VALUE!</v>
      </c>
      <c r="H110">
        <f t="shared" si="3"/>
        <v>3</v>
      </c>
    </row>
    <row r="111" spans="1:9" x14ac:dyDescent="0.2">
      <c r="A111" t="s">
        <v>242</v>
      </c>
      <c r="B111" t="s">
        <v>243</v>
      </c>
      <c r="C111" s="2" t="s">
        <v>244</v>
      </c>
      <c r="D111" s="3" t="s">
        <v>59</v>
      </c>
      <c r="G111">
        <f>LEN(D111)</f>
        <v>6</v>
      </c>
      <c r="H111" t="str">
        <f t="shared" si="3"/>
        <v/>
      </c>
    </row>
    <row r="112" spans="1:9" x14ac:dyDescent="0.2">
      <c r="A112" t="s">
        <v>245</v>
      </c>
      <c r="B112" t="s">
        <v>243</v>
      </c>
      <c r="C112" s="2" t="s">
        <v>244</v>
      </c>
      <c r="G112">
        <f>LEN(D112)</f>
        <v>0</v>
      </c>
      <c r="H112" t="str">
        <f t="shared" si="3"/>
        <v/>
      </c>
    </row>
    <row r="113" spans="1:8" x14ac:dyDescent="0.2">
      <c r="A113" t="s">
        <v>246</v>
      </c>
      <c r="B113" t="s">
        <v>243</v>
      </c>
      <c r="C113" s="2" t="s">
        <v>244</v>
      </c>
      <c r="D113">
        <v>12.5</v>
      </c>
      <c r="G113">
        <f>LEN(D113)</f>
        <v>4</v>
      </c>
      <c r="H113" t="str">
        <f t="shared" si="3"/>
        <v/>
      </c>
    </row>
    <row r="114" spans="1:8" x14ac:dyDescent="0.2">
      <c r="A114" t="s">
        <v>247</v>
      </c>
      <c r="B114" t="s">
        <v>248</v>
      </c>
      <c r="C114" s="2" t="s">
        <v>249</v>
      </c>
      <c r="D114" s="3" t="s">
        <v>250</v>
      </c>
      <c r="G114" t="str">
        <f>TRIM(D114)</f>
        <v>Trần Văn Bình</v>
      </c>
      <c r="H114" t="str">
        <f t="shared" si="3"/>
        <v/>
      </c>
    </row>
    <row r="115" spans="1:8" x14ac:dyDescent="0.2">
      <c r="A115" t="s">
        <v>251</v>
      </c>
      <c r="B115" t="s">
        <v>248</v>
      </c>
      <c r="C115" s="2" t="s">
        <v>249</v>
      </c>
      <c r="D115" s="3" t="s">
        <v>132</v>
      </c>
      <c r="G115" t="str">
        <f>TRIM(D115)</f>
        <v>abc</v>
      </c>
      <c r="H115" t="str">
        <f t="shared" si="3"/>
        <v/>
      </c>
    </row>
    <row r="116" spans="1:8" x14ac:dyDescent="0.2">
      <c r="A116" t="s">
        <v>252</v>
      </c>
      <c r="B116" t="s">
        <v>248</v>
      </c>
      <c r="C116" s="2" t="s">
        <v>253</v>
      </c>
      <c r="G116" t="str">
        <f>TRIM(D116)&amp;"|"</f>
        <v>|</v>
      </c>
      <c r="H116" t="str">
        <f t="shared" si="3"/>
        <v/>
      </c>
    </row>
    <row r="117" spans="1:8" x14ac:dyDescent="0.2">
      <c r="A117" t="s">
        <v>254</v>
      </c>
      <c r="B117" t="s">
        <v>255</v>
      </c>
      <c r="C117" s="2" t="s">
        <v>256</v>
      </c>
      <c r="D117" s="3" t="s">
        <v>257</v>
      </c>
      <c r="G117" t="str">
        <f>UPPER(D117)</f>
        <v>NGUYỄN VĂN ĐỨC</v>
      </c>
      <c r="H117" t="str">
        <f t="shared" si="3"/>
        <v/>
      </c>
    </row>
    <row r="118" spans="1:8" x14ac:dyDescent="0.2">
      <c r="A118" t="s">
        <v>258</v>
      </c>
      <c r="B118" t="s">
        <v>255</v>
      </c>
      <c r="C118" s="2" t="s">
        <v>256</v>
      </c>
      <c r="D118">
        <v>1.5</v>
      </c>
      <c r="G118" t="str">
        <f>UPPER(D118)</f>
        <v>1.5</v>
      </c>
      <c r="H118" t="str">
        <f t="shared" si="3"/>
        <v/>
      </c>
    </row>
    <row r="119" spans="1:8" x14ac:dyDescent="0.2">
      <c r="A119" t="s">
        <v>259</v>
      </c>
      <c r="B119" t="s">
        <v>255</v>
      </c>
      <c r="C119" s="2" t="s">
        <v>260</v>
      </c>
      <c r="G119" t="str">
        <f>UPPER(D119)&amp;"!"</f>
        <v>!</v>
      </c>
      <c r="H119" t="str">
        <f t="shared" si="3"/>
        <v/>
      </c>
    </row>
    <row r="120" spans="1:8" x14ac:dyDescent="0.2">
      <c r="A120" t="s">
        <v>261</v>
      </c>
      <c r="B120" t="s">
        <v>262</v>
      </c>
      <c r="C120" s="2" t="s">
        <v>263</v>
      </c>
      <c r="D120" s="3" t="s">
        <v>264</v>
      </c>
      <c r="G120" t="str">
        <f>LOWER(D120)</f>
        <v>đại học</v>
      </c>
      <c r="H120" t="str">
        <f t="shared" si="3"/>
        <v/>
      </c>
    </row>
    <row r="121" spans="1:8" x14ac:dyDescent="0.2">
      <c r="A121" t="s">
        <v>265</v>
      </c>
      <c r="B121" t="s">
        <v>262</v>
      </c>
      <c r="C121" s="2" t="s">
        <v>263</v>
      </c>
      <c r="D121" s="3" t="s">
        <v>266</v>
      </c>
      <c r="G121" t="str">
        <f>LOWER(D121)</f>
        <v>abc</v>
      </c>
      <c r="H121" t="str">
        <f t="shared" si="3"/>
        <v/>
      </c>
    </row>
    <row r="122" spans="1:8" x14ac:dyDescent="0.2">
      <c r="A122" t="s">
        <v>267</v>
      </c>
      <c r="B122" t="s">
        <v>262</v>
      </c>
      <c r="C122" s="2" t="s">
        <v>263</v>
      </c>
      <c r="D122" t="b">
        <v>1</v>
      </c>
      <c r="G122" t="str">
        <f>LOWER(D122)</f>
        <v>true</v>
      </c>
      <c r="H122" t="str">
        <f t="shared" si="3"/>
        <v/>
      </c>
    </row>
    <row r="123" spans="1:8" x14ac:dyDescent="0.2">
      <c r="A123" t="s">
        <v>268</v>
      </c>
      <c r="B123" t="s">
        <v>269</v>
      </c>
      <c r="C123" s="2" t="s">
        <v>270</v>
      </c>
      <c r="D123" s="3" t="s">
        <v>271</v>
      </c>
      <c r="G123" t="str">
        <f>PROPER(D123)</f>
        <v>Nguyễn Văn A</v>
      </c>
      <c r="H123" t="str">
        <f t="shared" si="3"/>
        <v/>
      </c>
    </row>
    <row r="124" spans="1:8" x14ac:dyDescent="0.2">
      <c r="A124" t="s">
        <v>272</v>
      </c>
      <c r="B124" t="s">
        <v>269</v>
      </c>
      <c r="C124" s="2" t="s">
        <v>270</v>
      </c>
      <c r="D124" s="3" t="s">
        <v>273</v>
      </c>
      <c r="G124" t="str">
        <f>PROPER(D124)</f>
        <v>O'Neil-Smith</v>
      </c>
      <c r="H124" t="str">
        <f t="shared" si="3"/>
        <v/>
      </c>
    </row>
    <row r="125" spans="1:8" x14ac:dyDescent="0.2">
      <c r="A125" t="s">
        <v>274</v>
      </c>
      <c r="B125" t="s">
        <v>269</v>
      </c>
      <c r="C125" s="2" t="s">
        <v>270</v>
      </c>
      <c r="D125" s="3" t="s">
        <v>275</v>
      </c>
      <c r="G125" t="str">
        <f>PROPER(D125)</f>
        <v>Abc123Def</v>
      </c>
      <c r="H125" t="str">
        <f t="shared" si="3"/>
        <v/>
      </c>
    </row>
    <row r="126" spans="1:8" x14ac:dyDescent="0.2">
      <c r="A126" t="s">
        <v>276</v>
      </c>
      <c r="B126" t="s">
        <v>277</v>
      </c>
      <c r="C126" s="2" t="s">
        <v>278</v>
      </c>
      <c r="G126" t="str">
        <f>_xlfn.CONCAT("a",1,TRUE)</f>
        <v>a1TRUE</v>
      </c>
      <c r="H126" t="str">
        <f t="shared" si="3"/>
        <v/>
      </c>
    </row>
    <row r="127" spans="1:8" x14ac:dyDescent="0.2">
      <c r="A127" t="s">
        <v>279</v>
      </c>
      <c r="B127" t="s">
        <v>277</v>
      </c>
      <c r="C127" s="2" t="s">
        <v>280</v>
      </c>
      <c r="G127" t="str">
        <f>_xlfn.CONCAT(D127,"x")</f>
        <v>x</v>
      </c>
      <c r="H127" t="str">
        <f t="shared" si="3"/>
        <v/>
      </c>
    </row>
    <row r="128" spans="1:8" x14ac:dyDescent="0.2">
      <c r="A128" t="s">
        <v>281</v>
      </c>
      <c r="B128" t="s">
        <v>277</v>
      </c>
      <c r="C128" s="2" t="s">
        <v>282</v>
      </c>
      <c r="D128" s="3" t="s">
        <v>59</v>
      </c>
      <c r="E128" s="3" t="s">
        <v>283</v>
      </c>
      <c r="G128" t="str">
        <f>_xlfn.CONCAT(D128," ",E128)</f>
        <v>Nguyễn An</v>
      </c>
      <c r="H128" t="str">
        <f t="shared" si="3"/>
        <v/>
      </c>
    </row>
    <row r="129" spans="1:8" x14ac:dyDescent="0.2">
      <c r="A129" t="s">
        <v>284</v>
      </c>
      <c r="B129" t="s">
        <v>285</v>
      </c>
      <c r="C129" s="2" t="s">
        <v>286</v>
      </c>
      <c r="G129" t="str">
        <f>_xlfn.TEXTJOIN(", ",TRUE,"a","","b")</f>
        <v>a, b</v>
      </c>
      <c r="H129" t="str">
        <f t="shared" si="3"/>
        <v/>
      </c>
    </row>
    <row r="130" spans="1:8" x14ac:dyDescent="0.2">
      <c r="A130" t="s">
        <v>287</v>
      </c>
      <c r="B130" t="s">
        <v>285</v>
      </c>
      <c r="C130" s="2" t="s">
        <v>288</v>
      </c>
      <c r="G130" t="str">
        <f>_xlfn.TEXTJOIN(", ",FALSE,"a","","b")</f>
        <v>a, , b</v>
      </c>
      <c r="H130" t="str">
        <f t="shared" ref="H130:H161" si="4">IF(ISERROR(G130),ERROR.TYPE(G130),"")</f>
        <v/>
      </c>
    </row>
    <row r="131" spans="1:8" x14ac:dyDescent="0.2">
      <c r="A131" t="s">
        <v>289</v>
      </c>
      <c r="B131" t="s">
        <v>285</v>
      </c>
      <c r="C131" s="2" t="s">
        <v>290</v>
      </c>
      <c r="E131" s="3" t="s">
        <v>291</v>
      </c>
      <c r="G131" t="str">
        <f>_xlfn.TEXTJOIN("-",TRUE,D131,E131)</f>
        <v>x</v>
      </c>
      <c r="H131" t="str">
        <f t="shared" si="4"/>
        <v/>
      </c>
    </row>
    <row r="132" spans="1:8" x14ac:dyDescent="0.2">
      <c r="A132" t="s">
        <v>292</v>
      </c>
      <c r="B132" t="s">
        <v>293</v>
      </c>
      <c r="C132" s="2" t="s">
        <v>294</v>
      </c>
      <c r="D132" s="3" t="s">
        <v>295</v>
      </c>
      <c r="G132" t="str">
        <f>SUBSTITUTE(D132,"-","+")</f>
        <v>a+b+c</v>
      </c>
      <c r="H132" t="str">
        <f t="shared" si="4"/>
        <v/>
      </c>
    </row>
    <row r="133" spans="1:8" x14ac:dyDescent="0.2">
      <c r="A133" t="s">
        <v>296</v>
      </c>
      <c r="B133" t="s">
        <v>293</v>
      </c>
      <c r="C133" s="2" t="s">
        <v>297</v>
      </c>
      <c r="D133" s="3" t="s">
        <v>295</v>
      </c>
      <c r="G133" t="str">
        <f>SUBSTITUTE(D133,"-","+",2)</f>
        <v>a-b+c</v>
      </c>
      <c r="H133" t="str">
        <f t="shared" si="4"/>
        <v/>
      </c>
    </row>
    <row r="134" spans="1:8" x14ac:dyDescent="0.2">
      <c r="A134" t="s">
        <v>298</v>
      </c>
      <c r="B134" t="s">
        <v>293</v>
      </c>
      <c r="C134" s="2" t="s">
        <v>299</v>
      </c>
      <c r="D134" s="3" t="s">
        <v>132</v>
      </c>
      <c r="G134" t="str">
        <f>SUBSTITUTE(D134,"","x")</f>
        <v>abc</v>
      </c>
      <c r="H134" t="str">
        <f t="shared" si="4"/>
        <v/>
      </c>
    </row>
    <row r="135" spans="1:8" x14ac:dyDescent="0.2">
      <c r="A135" t="s">
        <v>300</v>
      </c>
      <c r="B135" t="s">
        <v>293</v>
      </c>
      <c r="C135" s="2" t="s">
        <v>301</v>
      </c>
      <c r="D135" s="3" t="s">
        <v>302</v>
      </c>
      <c r="G135" t="str">
        <f>SUBSTITUTE(D135,"a","")</f>
        <v>A</v>
      </c>
      <c r="H135" t="str">
        <f t="shared" si="4"/>
        <v/>
      </c>
    </row>
    <row r="136" spans="1:8" x14ac:dyDescent="0.2">
      <c r="A136" t="s">
        <v>303</v>
      </c>
      <c r="B136" t="s">
        <v>304</v>
      </c>
      <c r="C136" s="2" t="s">
        <v>305</v>
      </c>
      <c r="G136">
        <f>FIND("a","ABa")</f>
        <v>3</v>
      </c>
      <c r="H136" t="str">
        <f t="shared" si="4"/>
        <v/>
      </c>
    </row>
    <row r="137" spans="1:8" x14ac:dyDescent="0.2">
      <c r="A137" t="s">
        <v>306</v>
      </c>
      <c r="B137" t="s">
        <v>304</v>
      </c>
      <c r="C137" s="2" t="s">
        <v>307</v>
      </c>
      <c r="D137" s="3" t="s">
        <v>132</v>
      </c>
      <c r="G137" t="e">
        <f>FIND("z",D137)</f>
        <v>#VALUE!</v>
      </c>
      <c r="H137">
        <f t="shared" si="4"/>
        <v>3</v>
      </c>
    </row>
    <row r="138" spans="1:8" x14ac:dyDescent="0.2">
      <c r="A138" t="s">
        <v>308</v>
      </c>
      <c r="B138" t="s">
        <v>304</v>
      </c>
      <c r="C138" s="2" t="s">
        <v>309</v>
      </c>
      <c r="D138" s="3" t="s">
        <v>310</v>
      </c>
      <c r="G138">
        <f>FIND("b",D138,3)</f>
        <v>4</v>
      </c>
      <c r="H138" t="str">
        <f t="shared" si="4"/>
        <v/>
      </c>
    </row>
    <row r="139" spans="1:8" x14ac:dyDescent="0.2">
      <c r="A139" t="s">
        <v>311</v>
      </c>
      <c r="B139" t="s">
        <v>304</v>
      </c>
      <c r="C139" s="2" t="s">
        <v>312</v>
      </c>
      <c r="D139" s="3" t="s">
        <v>59</v>
      </c>
      <c r="G139">
        <f>FIND("ễ",D139)</f>
        <v>5</v>
      </c>
      <c r="H139" t="str">
        <f t="shared" si="4"/>
        <v/>
      </c>
    </row>
    <row r="140" spans="1:8" x14ac:dyDescent="0.2">
      <c r="A140" t="s">
        <v>313</v>
      </c>
      <c r="B140" t="s">
        <v>314</v>
      </c>
      <c r="C140" s="2" t="s">
        <v>315</v>
      </c>
      <c r="G140">
        <f>SEARCH("b*","aBc")</f>
        <v>2</v>
      </c>
      <c r="H140" t="str">
        <f t="shared" si="4"/>
        <v/>
      </c>
    </row>
    <row r="141" spans="1:8" x14ac:dyDescent="0.2">
      <c r="A141" t="s">
        <v>316</v>
      </c>
      <c r="B141" t="s">
        <v>314</v>
      </c>
      <c r="C141" s="2" t="s">
        <v>317</v>
      </c>
      <c r="D141" s="3" t="s">
        <v>132</v>
      </c>
      <c r="G141">
        <f>SEARCH("?c",D141)</f>
        <v>2</v>
      </c>
      <c r="H141" t="str">
        <f t="shared" si="4"/>
        <v/>
      </c>
    </row>
    <row r="142" spans="1:8" x14ac:dyDescent="0.2">
      <c r="A142" t="s">
        <v>318</v>
      </c>
      <c r="B142" t="s">
        <v>314</v>
      </c>
      <c r="C142" s="2" t="s">
        <v>319</v>
      </c>
      <c r="D142" s="3" t="s">
        <v>320</v>
      </c>
      <c r="G142">
        <f>SEARCH("~*",D142)</f>
        <v>2</v>
      </c>
      <c r="H142" t="str">
        <f t="shared" si="4"/>
        <v/>
      </c>
    </row>
    <row r="143" spans="1:8" x14ac:dyDescent="0.2">
      <c r="A143" t="s">
        <v>321</v>
      </c>
      <c r="B143" t="s">
        <v>314</v>
      </c>
      <c r="C143" s="2" t="s">
        <v>322</v>
      </c>
      <c r="D143" s="3" t="s">
        <v>132</v>
      </c>
      <c r="G143" t="e">
        <f>SEARCH("x",D143)</f>
        <v>#VALUE!</v>
      </c>
      <c r="H143">
        <f t="shared" si="4"/>
        <v>3</v>
      </c>
    </row>
    <row r="144" spans="1:8" x14ac:dyDescent="0.2">
      <c r="A144" t="s">
        <v>323</v>
      </c>
      <c r="B144" t="s">
        <v>314</v>
      </c>
      <c r="C144" s="2" t="s">
        <v>324</v>
      </c>
      <c r="D144" s="3" t="s">
        <v>325</v>
      </c>
      <c r="G144">
        <f>SEARCH("VĂN",D144)</f>
        <v>8</v>
      </c>
      <c r="H144" t="str">
        <f t="shared" si="4"/>
        <v/>
      </c>
    </row>
    <row r="145" spans="1:9" x14ac:dyDescent="0.2">
      <c r="A145" t="s">
        <v>326</v>
      </c>
      <c r="B145" t="s">
        <v>327</v>
      </c>
      <c r="C145" s="2" t="s">
        <v>328</v>
      </c>
      <c r="G145">
        <f>VALUE("1.5")</f>
        <v>1.5</v>
      </c>
      <c r="H145" t="str">
        <f t="shared" si="4"/>
        <v/>
      </c>
    </row>
    <row r="146" spans="1:9" x14ac:dyDescent="0.2">
      <c r="A146" t="s">
        <v>329</v>
      </c>
      <c r="B146" t="s">
        <v>327</v>
      </c>
      <c r="C146" s="2" t="s">
        <v>330</v>
      </c>
      <c r="D146" s="3" t="s">
        <v>331</v>
      </c>
      <c r="G146">
        <f>VALUE(D146)</f>
        <v>-12</v>
      </c>
      <c r="H146" t="str">
        <f t="shared" si="4"/>
        <v/>
      </c>
    </row>
    <row r="147" spans="1:9" x14ac:dyDescent="0.2">
      <c r="A147" t="s">
        <v>332</v>
      </c>
      <c r="B147" t="s">
        <v>327</v>
      </c>
      <c r="C147" s="2" t="s">
        <v>330</v>
      </c>
      <c r="D147" s="3" t="s">
        <v>132</v>
      </c>
      <c r="G147" t="e">
        <f>VALUE(D147)</f>
        <v>#VALUE!</v>
      </c>
      <c r="H147">
        <f t="shared" si="4"/>
        <v>3</v>
      </c>
    </row>
    <row r="148" spans="1:9" x14ac:dyDescent="0.2">
      <c r="A148" t="s">
        <v>333</v>
      </c>
      <c r="B148" t="s">
        <v>327</v>
      </c>
      <c r="C148" s="2" t="s">
        <v>330</v>
      </c>
      <c r="G148">
        <f>VALUE(D148)</f>
        <v>0</v>
      </c>
      <c r="H148" t="str">
        <f t="shared" si="4"/>
        <v/>
      </c>
    </row>
    <row r="149" spans="1:9" x14ac:dyDescent="0.2">
      <c r="A149" t="s">
        <v>334</v>
      </c>
      <c r="B149" t="s">
        <v>335</v>
      </c>
      <c r="C149" s="2" t="s">
        <v>336</v>
      </c>
      <c r="G149">
        <f>DATE(2026,13,1)</f>
        <v>46388</v>
      </c>
      <c r="H149" t="str">
        <f t="shared" si="4"/>
        <v/>
      </c>
    </row>
    <row r="150" spans="1:9" x14ac:dyDescent="0.2">
      <c r="A150" t="s">
        <v>337</v>
      </c>
      <c r="B150" t="s">
        <v>335</v>
      </c>
      <c r="C150" s="2" t="s">
        <v>338</v>
      </c>
      <c r="G150">
        <f>DATE(2024,2,29)</f>
        <v>45351</v>
      </c>
      <c r="H150" t="str">
        <f t="shared" si="4"/>
        <v/>
      </c>
    </row>
    <row r="151" spans="1:9" x14ac:dyDescent="0.2">
      <c r="A151" t="s">
        <v>339</v>
      </c>
      <c r="B151" t="s">
        <v>335</v>
      </c>
      <c r="C151" s="2" t="s">
        <v>340</v>
      </c>
      <c r="G151">
        <f>DATE(2026,3,0)</f>
        <v>46081</v>
      </c>
      <c r="H151" t="str">
        <f t="shared" si="4"/>
        <v/>
      </c>
    </row>
    <row r="152" spans="1:9" x14ac:dyDescent="0.2">
      <c r="A152" t="s">
        <v>341</v>
      </c>
      <c r="B152" t="s">
        <v>335</v>
      </c>
      <c r="C152" s="2" t="s">
        <v>342</v>
      </c>
      <c r="G152">
        <f>DATE(2026,1,-1)</f>
        <v>46021</v>
      </c>
      <c r="H152" t="str">
        <f t="shared" si="4"/>
        <v/>
      </c>
    </row>
    <row r="153" spans="1:9" x14ac:dyDescent="0.2">
      <c r="A153" t="s">
        <v>343</v>
      </c>
      <c r="B153" t="s">
        <v>335</v>
      </c>
      <c r="C153" s="2" t="s">
        <v>344</v>
      </c>
      <c r="G153" t="e">
        <f>DATE(10000,1,1)</f>
        <v>#NUM!</v>
      </c>
      <c r="H153">
        <f t="shared" si="4"/>
        <v>6</v>
      </c>
    </row>
    <row r="154" spans="1:9" x14ac:dyDescent="0.2">
      <c r="A154" t="s">
        <v>345</v>
      </c>
      <c r="B154" t="s">
        <v>346</v>
      </c>
      <c r="C154" s="2" t="s">
        <v>347</v>
      </c>
      <c r="D154" s="4">
        <v>45351</v>
      </c>
      <c r="G154">
        <f>YEAR(D154)</f>
        <v>2024</v>
      </c>
      <c r="H154" t="str">
        <f t="shared" si="4"/>
        <v/>
      </c>
    </row>
    <row r="155" spans="1:9" x14ac:dyDescent="0.2">
      <c r="A155" t="s">
        <v>348</v>
      </c>
      <c r="B155" t="s">
        <v>346</v>
      </c>
      <c r="C155" s="2" t="s">
        <v>347</v>
      </c>
      <c r="D155" s="4">
        <v>46022</v>
      </c>
      <c r="G155">
        <f>YEAR(D155)</f>
        <v>2025</v>
      </c>
      <c r="H155" t="str">
        <f t="shared" si="4"/>
        <v/>
      </c>
    </row>
    <row r="156" spans="1:9" x14ac:dyDescent="0.2">
      <c r="A156" t="s">
        <v>349</v>
      </c>
      <c r="B156" t="s">
        <v>346</v>
      </c>
      <c r="C156" s="2" t="s">
        <v>347</v>
      </c>
      <c r="G156">
        <f>YEAR(D156)</f>
        <v>1900</v>
      </c>
      <c r="H156" t="str">
        <f t="shared" si="4"/>
        <v/>
      </c>
      <c r="I156" t="s">
        <v>350</v>
      </c>
    </row>
    <row r="157" spans="1:9" x14ac:dyDescent="0.2">
      <c r="A157" t="s">
        <v>351</v>
      </c>
      <c r="B157" t="s">
        <v>346</v>
      </c>
      <c r="C157" s="2" t="s">
        <v>347</v>
      </c>
      <c r="D157" s="3" t="s">
        <v>132</v>
      </c>
      <c r="G157" t="e">
        <f>YEAR(D157)</f>
        <v>#VALUE!</v>
      </c>
      <c r="H157">
        <f t="shared" si="4"/>
        <v>3</v>
      </c>
    </row>
    <row r="158" spans="1:9" x14ac:dyDescent="0.2">
      <c r="A158" t="s">
        <v>352</v>
      </c>
      <c r="B158" t="s">
        <v>353</v>
      </c>
      <c r="C158" s="2" t="s">
        <v>354</v>
      </c>
      <c r="D158" s="4">
        <v>45351</v>
      </c>
      <c r="G158">
        <f>MONTH(D158)</f>
        <v>2</v>
      </c>
      <c r="H158" t="str">
        <f t="shared" si="4"/>
        <v/>
      </c>
    </row>
    <row r="159" spans="1:9" x14ac:dyDescent="0.2">
      <c r="A159" t="s">
        <v>355</v>
      </c>
      <c r="B159" t="s">
        <v>353</v>
      </c>
      <c r="C159" s="2" t="s">
        <v>354</v>
      </c>
      <c r="D159" s="4">
        <v>46022</v>
      </c>
      <c r="G159">
        <f>MONTH(D159)</f>
        <v>12</v>
      </c>
      <c r="H159" t="str">
        <f t="shared" si="4"/>
        <v/>
      </c>
    </row>
    <row r="160" spans="1:9" x14ac:dyDescent="0.2">
      <c r="A160" t="s">
        <v>356</v>
      </c>
      <c r="B160" t="s">
        <v>353</v>
      </c>
      <c r="C160" s="2" t="s">
        <v>357</v>
      </c>
      <c r="G160" t="e">
        <f>MONTH(-1)</f>
        <v>#NUM!</v>
      </c>
      <c r="H160">
        <f t="shared" si="4"/>
        <v>6</v>
      </c>
    </row>
    <row r="161" spans="1:9" x14ac:dyDescent="0.2">
      <c r="A161" t="s">
        <v>358</v>
      </c>
      <c r="B161" t="s">
        <v>359</v>
      </c>
      <c r="C161" s="2" t="s">
        <v>360</v>
      </c>
      <c r="D161" s="4">
        <v>45351</v>
      </c>
      <c r="G161">
        <f>DAY(D161)</f>
        <v>29</v>
      </c>
      <c r="H161" t="str">
        <f t="shared" si="4"/>
        <v/>
      </c>
    </row>
    <row r="162" spans="1:9" x14ac:dyDescent="0.2">
      <c r="A162" t="s">
        <v>361</v>
      </c>
      <c r="B162" t="s">
        <v>359</v>
      </c>
      <c r="C162" s="2" t="s">
        <v>360</v>
      </c>
      <c r="D162" s="4">
        <v>46022</v>
      </c>
      <c r="G162">
        <f>DAY(D162)</f>
        <v>31</v>
      </c>
      <c r="H162" t="str">
        <f t="shared" ref="H162:H193" si="5">IF(ISERROR(G162),ERROR.TYPE(G162),"")</f>
        <v/>
      </c>
    </row>
    <row r="163" spans="1:9" x14ac:dyDescent="0.2">
      <c r="A163" t="s">
        <v>362</v>
      </c>
      <c r="B163" t="s">
        <v>359</v>
      </c>
      <c r="C163" s="2" t="s">
        <v>360</v>
      </c>
      <c r="G163">
        <f>DAY(D163)</f>
        <v>0</v>
      </c>
      <c r="H163" t="str">
        <f t="shared" si="5"/>
        <v/>
      </c>
      <c r="I163" t="s">
        <v>363</v>
      </c>
    </row>
    <row r="164" spans="1:9" x14ac:dyDescent="0.2">
      <c r="A164" t="s">
        <v>364</v>
      </c>
      <c r="B164" t="s">
        <v>365</v>
      </c>
      <c r="C164" s="2" t="s">
        <v>366</v>
      </c>
      <c r="G164">
        <f>EDATE(DATE(2026,1,31),1)</f>
        <v>46081</v>
      </c>
      <c r="H164" t="str">
        <f t="shared" si="5"/>
        <v/>
      </c>
    </row>
    <row r="165" spans="1:9" x14ac:dyDescent="0.2">
      <c r="A165" t="s">
        <v>367</v>
      </c>
      <c r="B165" t="s">
        <v>365</v>
      </c>
      <c r="C165" s="2" t="s">
        <v>368</v>
      </c>
      <c r="D165" s="4">
        <v>45351</v>
      </c>
      <c r="G165">
        <f>EDATE(D165,12)</f>
        <v>45716</v>
      </c>
      <c r="H165" t="str">
        <f t="shared" si="5"/>
        <v/>
      </c>
    </row>
    <row r="166" spans="1:9" x14ac:dyDescent="0.2">
      <c r="A166" t="s">
        <v>369</v>
      </c>
      <c r="B166" t="s">
        <v>365</v>
      </c>
      <c r="C166" s="2" t="s">
        <v>370</v>
      </c>
      <c r="D166" s="4">
        <v>46112</v>
      </c>
      <c r="G166">
        <f>EDATE(D166,-1)</f>
        <v>46081</v>
      </c>
      <c r="H166" t="str">
        <f t="shared" si="5"/>
        <v/>
      </c>
    </row>
    <row r="167" spans="1:9" x14ac:dyDescent="0.2">
      <c r="A167" t="s">
        <v>371</v>
      </c>
      <c r="B167" t="s">
        <v>372</v>
      </c>
      <c r="C167" s="2" t="s">
        <v>373</v>
      </c>
      <c r="G167">
        <f>EOMONTH(DATE(2026,2,10),0)</f>
        <v>46081</v>
      </c>
      <c r="H167" t="str">
        <f t="shared" si="5"/>
        <v/>
      </c>
    </row>
    <row r="168" spans="1:9" x14ac:dyDescent="0.2">
      <c r="A168" t="s">
        <v>374</v>
      </c>
      <c r="B168" t="s">
        <v>372</v>
      </c>
      <c r="C168" s="2" t="s">
        <v>375</v>
      </c>
      <c r="D168" s="4">
        <v>45323</v>
      </c>
      <c r="G168">
        <f>EOMONTH(D168,0)</f>
        <v>45351</v>
      </c>
      <c r="H168" t="str">
        <f t="shared" si="5"/>
        <v/>
      </c>
    </row>
    <row r="169" spans="1:9" x14ac:dyDescent="0.2">
      <c r="A169" t="s">
        <v>376</v>
      </c>
      <c r="B169" t="s">
        <v>372</v>
      </c>
      <c r="C169" s="2" t="s">
        <v>377</v>
      </c>
      <c r="D169" s="4">
        <v>46037</v>
      </c>
      <c r="G169">
        <f>EOMONTH(D169,-2)</f>
        <v>45991</v>
      </c>
      <c r="H169" t="str">
        <f t="shared" si="5"/>
        <v/>
      </c>
    </row>
    <row r="170" spans="1:9" x14ac:dyDescent="0.2">
      <c r="A170" t="s">
        <v>378</v>
      </c>
      <c r="B170" t="s">
        <v>379</v>
      </c>
      <c r="C170" s="2" t="s">
        <v>380</v>
      </c>
      <c r="G170">
        <f>DATEDIF(DATE(2020,3,15),DATE(2026,3,14),"Y")</f>
        <v>5</v>
      </c>
      <c r="H170" t="str">
        <f t="shared" si="5"/>
        <v/>
      </c>
    </row>
    <row r="171" spans="1:9" x14ac:dyDescent="0.2">
      <c r="A171" t="s">
        <v>381</v>
      </c>
      <c r="B171" t="s">
        <v>379</v>
      </c>
      <c r="C171" s="2" t="s">
        <v>382</v>
      </c>
      <c r="D171" s="4">
        <v>46053</v>
      </c>
      <c r="E171" s="4">
        <v>46081</v>
      </c>
      <c r="G171">
        <f>DATEDIF(D171,E171,"M")</f>
        <v>0</v>
      </c>
      <c r="H171" t="str">
        <f t="shared" si="5"/>
        <v/>
      </c>
    </row>
    <row r="172" spans="1:9" x14ac:dyDescent="0.2">
      <c r="A172" t="s">
        <v>383</v>
      </c>
      <c r="B172" t="s">
        <v>379</v>
      </c>
      <c r="C172" s="2" t="s">
        <v>384</v>
      </c>
      <c r="D172" s="4">
        <v>45350</v>
      </c>
      <c r="E172" s="4">
        <v>45352</v>
      </c>
      <c r="G172">
        <f>DATEDIF(D172,E172,"D")</f>
        <v>2</v>
      </c>
      <c r="H172" t="str">
        <f t="shared" si="5"/>
        <v/>
      </c>
    </row>
    <row r="173" spans="1:9" x14ac:dyDescent="0.2">
      <c r="A173" t="s">
        <v>385</v>
      </c>
      <c r="B173" t="s">
        <v>379</v>
      </c>
      <c r="C173" s="2" t="s">
        <v>386</v>
      </c>
      <c r="D173" s="4">
        <v>46053</v>
      </c>
      <c r="E173" s="4">
        <v>46082</v>
      </c>
      <c r="G173">
        <f>DATEDIF(D173,E173,"MD")</f>
        <v>-2</v>
      </c>
      <c r="H173" t="str">
        <f t="shared" si="5"/>
        <v/>
      </c>
      <c r="I173" t="s">
        <v>387</v>
      </c>
    </row>
    <row r="174" spans="1:9" x14ac:dyDescent="0.2">
      <c r="A174" t="s">
        <v>388</v>
      </c>
      <c r="B174" t="s">
        <v>379</v>
      </c>
      <c r="C174" s="2" t="s">
        <v>386</v>
      </c>
      <c r="D174" s="4">
        <v>46037</v>
      </c>
      <c r="E174" s="4">
        <v>46091</v>
      </c>
      <c r="G174">
        <f>DATEDIF(D174,E174,"MD")</f>
        <v>23</v>
      </c>
      <c r="H174" t="str">
        <f t="shared" si="5"/>
        <v/>
      </c>
      <c r="I174" t="s">
        <v>389</v>
      </c>
    </row>
    <row r="175" spans="1:9" x14ac:dyDescent="0.2">
      <c r="A175" t="s">
        <v>390</v>
      </c>
      <c r="B175" t="s">
        <v>379</v>
      </c>
      <c r="C175" s="2" t="s">
        <v>391</v>
      </c>
      <c r="D175" s="4">
        <v>44150</v>
      </c>
      <c r="E175" s="4">
        <v>46095</v>
      </c>
      <c r="G175">
        <f>DATEDIF(D175,E175,"YM")</f>
        <v>3</v>
      </c>
      <c r="H175" t="str">
        <f t="shared" si="5"/>
        <v/>
      </c>
    </row>
    <row r="176" spans="1:9" x14ac:dyDescent="0.2">
      <c r="A176" t="s">
        <v>392</v>
      </c>
      <c r="B176" t="s">
        <v>379</v>
      </c>
      <c r="C176" s="2" t="s">
        <v>393</v>
      </c>
      <c r="D176" s="4">
        <v>44985</v>
      </c>
      <c r="E176" s="4">
        <v>45352</v>
      </c>
      <c r="G176">
        <f>DATEDIF(D176,E176,"YD")</f>
        <v>2</v>
      </c>
      <c r="H176" t="str">
        <f t="shared" si="5"/>
        <v/>
      </c>
      <c r="I176" t="s">
        <v>394</v>
      </c>
    </row>
    <row r="177" spans="1:8" x14ac:dyDescent="0.2">
      <c r="A177" t="s">
        <v>395</v>
      </c>
      <c r="B177" t="s">
        <v>379</v>
      </c>
      <c r="C177" s="2" t="s">
        <v>396</v>
      </c>
      <c r="D177" s="4">
        <v>46082</v>
      </c>
      <c r="E177" s="4">
        <v>46023</v>
      </c>
      <c r="G177" t="e">
        <f>DATEDIF(D177,E177,"Y")</f>
        <v>#NUM!</v>
      </c>
      <c r="H177">
        <f t="shared" si="5"/>
        <v>6</v>
      </c>
    </row>
    <row r="178" spans="1:8" x14ac:dyDescent="0.2">
      <c r="A178" t="s">
        <v>397</v>
      </c>
      <c r="B178" t="s">
        <v>398</v>
      </c>
      <c r="C178" s="2" t="s">
        <v>399</v>
      </c>
      <c r="G178">
        <f>WEEKDAY(DATE(2026,10,30),2)</f>
        <v>5</v>
      </c>
      <c r="H178" t="str">
        <f t="shared" si="5"/>
        <v/>
      </c>
    </row>
    <row r="179" spans="1:8" x14ac:dyDescent="0.2">
      <c r="A179" t="s">
        <v>400</v>
      </c>
      <c r="B179" t="s">
        <v>398</v>
      </c>
      <c r="C179" s="2" t="s">
        <v>401</v>
      </c>
      <c r="D179" s="4">
        <v>46327</v>
      </c>
      <c r="G179">
        <f>WEEKDAY(D179)</f>
        <v>1</v>
      </c>
      <c r="H179" t="str">
        <f t="shared" si="5"/>
        <v/>
      </c>
    </row>
    <row r="180" spans="1:8" x14ac:dyDescent="0.2">
      <c r="A180" t="s">
        <v>402</v>
      </c>
      <c r="B180" t="s">
        <v>398</v>
      </c>
      <c r="C180" s="2" t="s">
        <v>403</v>
      </c>
      <c r="D180" s="4">
        <v>45351</v>
      </c>
      <c r="G180">
        <f>WEEKDAY(D180,3)</f>
        <v>3</v>
      </c>
      <c r="H180" t="str">
        <f t="shared" si="5"/>
        <v/>
      </c>
    </row>
    <row r="181" spans="1:8" x14ac:dyDescent="0.2">
      <c r="A181" t="s">
        <v>404</v>
      </c>
      <c r="B181" t="s">
        <v>398</v>
      </c>
      <c r="C181" s="2" t="s">
        <v>405</v>
      </c>
      <c r="D181" s="4">
        <v>45351</v>
      </c>
      <c r="G181" t="e">
        <f>WEEKDAY(D181,9)</f>
        <v>#NUM!</v>
      </c>
      <c r="H181">
        <f t="shared" si="5"/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Hai Thien</cp:lastModifiedBy>
  <dcterms:created xsi:type="dcterms:W3CDTF">2026-10-30T06:37:19Z</dcterms:created>
  <dcterms:modified xsi:type="dcterms:W3CDTF">2026-10-30T16:02:21Z</dcterms:modified>
</cp:coreProperties>
</file>